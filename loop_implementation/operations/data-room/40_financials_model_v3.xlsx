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9097016ca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180e385813403e"/>
    <x:sheet xmlns:r="http://schemas.openxmlformats.org/officeDocument/2006/relationships" name="Assumptions" sheetId="2" r:id="R4d808557ee9a4883"/>
    <x:sheet xmlns:r="http://schemas.openxmlformats.org/officeDocument/2006/relationships" name="Operating Model" sheetId="3" r:id="R722c8e172b35417f"/>
    <x:sheet xmlns:r="http://schemas.openxmlformats.org/officeDocument/2006/relationships" name="Checks" sheetId="4" r:id="Rdc5c188f7f2a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$0.0"/>
    <x:numFmt numFmtId="202" formatCode="0.0%"/>
    <x:numFmt numFmtId="203" formatCode="0%"/>
    <x:numFmt numFmtId="204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176B87"/>
      </x:patternFill>
    </x:fill>
  </x:fills>
  <x:borders count="2">
    <x:border/>
    <x:border>
      <x:bottom>
        <x:color rgb="D0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dcd7a00ff4106" /><Relationship Type="http://schemas.openxmlformats.org/officeDocument/2006/relationships/theme" Target="/xl/theme/theme1.xml" Id="R1523c47e62764acc" /><Relationship Type="http://schemas.openxmlformats.org/officeDocument/2006/relationships/sharedStrings" Target="/xl/sharedStrings.xml" Id="R3729656a27e54872" /><Relationship Type="http://schemas.openxmlformats.org/officeDocument/2006/relationships/worksheet" Target="/xl/worksheets/sheet1.xml" Id="R66180e385813403e" /><Relationship Type="http://schemas.openxmlformats.org/officeDocument/2006/relationships/worksheet" Target="/xl/worksheets/sheet2.xml" Id="R4d808557ee9a4883" /><Relationship Type="http://schemas.openxmlformats.org/officeDocument/2006/relationships/worksheet" Target="/xl/worksheets/sheet3.xml" Id="R722c8e172b35417f" /><Relationship Type="http://schemas.openxmlformats.org/officeDocument/2006/relationships/worksheet" Target="/xl/worksheets/sheet4.xml" Id="Rdc5c188f7f2a4c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54be2a190d49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ARR ramp to $22M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ARR</c:v>
          </c:tx>
          <c:cat>
            <c:strRef>
              <c:f>'Summary'!$H$2:$H$26</c:f>
              <c:strCache>
                <c:ptCount val="0"/>
              </c:strCache>
            </c:strRef>
          </c:cat>
          <c:val>
            <c:numRef>
              <c:f>'Summary'!$I$2:$I$26</c:f>
              <c:numCache>
                <c:formatCode>$0.0M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M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54be2a190d49e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496f4f86994715" /></Relationships>
</file>

<file path=xl/worksheets/sheet1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9.449999809265137" hidden="0" customWidth="1"/>
    <x:col min="3" max="3" width="9.449999809265137" hidden="0" customWidth="1"/>
    <x:col min="4" max="4" width="9.449999809265137" hidden="0" customWidth="1"/>
    <x:col min="5" max="5" width="8.960000038146973" hidden="0" customWidth="1"/>
    <x:col min="6" max="6" width="36.20000076293945" hidden="0" customWidth="1"/>
    <x:col min="8" max="8" width="7.980000019073486" hidden="0" customWidth="1"/>
    <x:col min="9" max="9" width="7.980000019073486" hidden="0" customWidth="1"/>
  </x:cols>
  <x:sheetData>
    <x:row r="1">
      <x:c r="A1" s="2" t="str">
        <x:v>Loop Series A financial model v3</x:v>
      </x:c>
      <x:c r="B1" s="2"/>
      <x:c r="C1" s="2"/>
      <x:c r="D1" s="2"/>
      <x:c r="E1" s="2"/>
      <x:c r="F1" s="2"/>
      <x:c r="G1" s="2"/>
      <x:c r="H1" s="2" t="str">
        <x:v>Month</x:v>
      </x:c>
      <x:c r="I1" t="str">
        <x:v>ARR</x:v>
      </x:c>
    </x:row>
    <x:row r="2">
      <x:c r="H2" t="n">
        <x:v>0</x:v>
      </x:c>
      <x:c r="I2" t="n">
        <x:f>'Operating Model'!B2</x:f>
        <x:v>1.6</x:v>
      </x:c>
    </x:row>
    <x:row r="3">
      <x:c r="A3" s="4" t="str">
        <x:v>Metric</x:v>
      </x:c>
      <x:c r="B3" s="4" t="str">
        <x:v>T0</x:v>
      </x:c>
      <x:c r="C3" s="4" t="str">
        <x:v>+12mo</x:v>
      </x:c>
      <x:c r="D3" s="4" t="str">
        <x:v>+24mo</x:v>
      </x:c>
      <x:c r="E3" s="4" t="str">
        <x:v>Target</x:v>
      </x:c>
      <x:c r="F3" s="4" t="str">
        <x:v>Notes</x:v>
      </x:c>
      <x:c r="H3" t="n">
        <x:v>1</x:v>
      </x:c>
      <x:c r="I3" t="n">
        <x:f>'Operating Model'!B3</x:f>
        <x:v>2.091666666666667</x:v>
      </x:c>
    </x:row>
    <x:row r="4">
      <x:c r="A4" t="str">
        <x:v>Paid logos</x:v>
      </x:c>
      <x:c r="B4" s="7" t="n">
        <x:v>9</x:v>
      </x:c>
      <x:c r="C4" s="7" t="n">
        <x:v>35</x:v>
      </x:c>
      <x:c r="D4" s="7" t="n">
        <x:v>90</x:v>
      </x:c>
      <x:c r="E4" t="str">
        <x:v>90</x:v>
      </x:c>
      <x:c r="F4" t="str">
        <x:v>Design-partner conversion plus outbound enterprise</x:v>
      </x:c>
      <x:c r="H4" t="n">
        <x:v>2</x:v>
      </x:c>
      <x:c r="I4" t="n">
        <x:f>'Operating Model'!B4</x:f>
        <x:v>2.5833333333333335</x:v>
      </x:c>
    </x:row>
    <x:row r="5">
      <x:c r="A5" t="str">
        <x:v>ARR ($M)</x:v>
      </x:c>
      <x:c r="B5" s="8" t="n">
        <x:v>1.6</x:v>
      </x:c>
      <x:c r="C5" s="8" t="n">
        <x:v>7.5</x:v>
      </x:c>
      <x:c r="D5" s="8" t="n">
        <x:v>22</x:v>
      </x:c>
      <x:c r="E5" t="str">
        <x:v>22.0</x:v>
      </x:c>
      <x:c r="F5" t="str">
        <x:v>Subscription ARR; inference pass-through excluded</x:v>
      </x:c>
      <x:c r="H5" t="n">
        <x:v>3</x:v>
      </x:c>
      <x:c r="I5" t="n">
        <x:f>'Operating Model'!B5</x:f>
        <x:v>3.075</x:v>
      </x:c>
    </x:row>
    <x:row r="6">
      <x:c r="A6" t="str">
        <x:v>Net revenue retention</x:v>
      </x:c>
      <x:c r="B6" s="9" t="str">
        <x:v>n/a</x:v>
      </x:c>
      <x:c r="C6" s="9" t="n">
        <x:v>1.15</x:v>
      </x:c>
      <x:c r="D6" s="9" t="n">
        <x:v>1.25</x:v>
      </x:c>
      <x:c r="E6" t="str">
        <x:v>125%+</x:v>
      </x:c>
      <x:c r="F6" t="str">
        <x:v>Expansion from governance, audit, and self-host</x:v>
      </x:c>
      <x:c r="H6" t="n">
        <x:v>4</x:v>
      </x:c>
      <x:c r="I6" t="n">
        <x:f>'Operating Model'!B6</x:f>
        <x:v>3.566666666666667</x:v>
      </x:c>
    </x:row>
    <x:row r="7">
      <x:c r="A7" t="str">
        <x:v>Self-host conversion</x:v>
      </x:c>
      <x:c r="B7" s="9" t="n">
        <x:v>0.28</x:v>
      </x:c>
      <x:c r="C7" s="9" t="n">
        <x:v>0.35</x:v>
      </x:c>
      <x:c r="D7" s="9" t="n">
        <x:v>0.4</x:v>
      </x:c>
      <x:c r="E7" t="str">
        <x:v>40%</x:v>
      </x:c>
      <x:c r="F7" t="str">
        <x:v>Regulated teams prefer portable Helm deploys</x:v>
      </x:c>
      <x:c r="H7" t="n">
        <x:v>5</x:v>
      </x:c>
      <x:c r="I7" t="n">
        <x:f>'Operating Model'!B7</x:f>
        <x:v>4.058333333333334</x:v>
      </x:c>
    </x:row>
    <x:row r="8">
      <x:c r="A8" t="str">
        <x:v>Weekly eval runs</x:v>
      </x:c>
      <x:c r="B8" s="7" t="n">
        <x:v>8000</x:v>
      </x:c>
      <x:c r="C8" s="7" t="n">
        <x:v>60000</x:v>
      </x:c>
      <x:c r="D8" s="7" t="n">
        <x:v>250000</x:v>
      </x:c>
      <x:c r="E8" t="str">
        <x:v>250k</x:v>
      </x:c>
      <x:c r="F8" t="str">
        <x:v>Free registry seeds paid governance demand</x:v>
      </x:c>
      <x:c r="H8" t="n">
        <x:v>6</x:v>
      </x:c>
      <x:c r="I8" t="n">
        <x:f>'Operating Model'!B8</x:f>
        <x:v>4.550000000000001</x:v>
      </x:c>
    </x:row>
    <x:row r="9">
      <x:c r="A9" t="str">
        <x:v>Channel adapters</x:v>
      </x:c>
      <x:c r="B9" s="7" t="n">
        <x:v>8</x:v>
      </x:c>
      <x:c r="C9" s="7" t="n">
        <x:v>12</x:v>
      </x:c>
      <x:c r="D9" s="7" t="n">
        <x:v>18</x:v>
      </x:c>
      <x:c r="E9" t="str">
        <x:v>18</x:v>
      </x:c>
      <x:c r="F9" t="str">
        <x:v>Coverage expands from core work channels</x:v>
      </x:c>
      <x:c r="H9" t="n">
        <x:v>7</x:v>
      </x:c>
      <x:c r="I9" t="n">
        <x:f>'Operating Model'!B9</x:f>
        <x:v>5.041666666666667</x:v>
      </x:c>
    </x:row>
    <x:row r="10">
      <x:c r="A10" t="str">
        <x:v>Runway months</x:v>
      </x:c>
      <x:c r="B10" s="7" t="n">
        <x:v>36</x:v>
      </x:c>
      <x:c r="C10" s="7" t="n">
        <x:v>28</x:v>
      </x:c>
      <x:c r="D10" s="7" t="n">
        <x:v>24</x:v>
      </x:c>
      <x:c r="E10" t="str">
        <x:v>24+</x:v>
      </x:c>
      <x:c r="F10" t="str">
        <x:v>Series A plan maintains &gt;=24 months</x:v>
      </x:c>
      <x:c r="H10" t="n">
        <x:v>8</x:v>
      </x:c>
      <x:c r="I10" t="n">
        <x:f>'Operating Model'!B10</x:f>
        <x:v>5.533333333333333</x:v>
      </x:c>
    </x:row>
    <x:row r="11">
      <x:c r="A11" t="str">
        <x:v>Raise size ($M)</x:v>
      </x:c>
      <x:c r="B11" s="8" t="n">
        <x:v>18</x:v>
      </x:c>
      <x:c r="C11" s="8" t="n">
        <x:v>18</x:v>
      </x:c>
      <x:c r="D11" s="8" t="n">
        <x:v>18</x:v>
      </x:c>
      <x:c r="E11" t="str">
        <x:v>18</x:v>
      </x:c>
      <x:c r="F11" t="str">
        <x:v>Primary capital, secondary optional</x:v>
      </x:c>
      <x:c r="H11" t="n">
        <x:v>9</x:v>
      </x:c>
      <x:c r="I11" t="n">
        <x:f>'Operating Model'!B11</x:f>
        <x:v>6.025</x:v>
      </x:c>
    </x:row>
    <x:row r="12">
      <x:c r="H12" t="n">
        <x:v>10</x:v>
      </x:c>
      <x:c r="I12" t="n">
        <x:f>'Operating Model'!B12</x:f>
        <x:v>6.5166666666666675</x:v>
      </x:c>
    </x:row>
    <x:row r="13">
      <x:c r="A13" s="4" t="str">
        <x:v>Use of funds</x:v>
      </x:c>
      <x:c r="B13" s="4" t="str">
        <x:v>Share</x:v>
      </x:c>
      <x:c r="C13" s="4" t="str">
        <x:v>Dollars ($M)</x:v>
      </x:c>
      <x:c r="D13" s="4" t="str">
        <x:v>Operating intent</x:v>
      </x:c>
      <x:c r="H13" t="n">
        <x:v>11</x:v>
      </x:c>
      <x:c r="I13" t="n">
        <x:f>'Operating Model'!B13</x:f>
        <x:v>7.008333333333335</x:v>
      </x:c>
    </x:row>
    <x:row r="14">
      <x:c r="A14" t="str">
        <x:v>Engineering</x:v>
      </x:c>
      <x:c r="B14" s="10" t="n">
        <x:v>0.6</x:v>
      </x:c>
      <x:c r="C14" s="8" t="n">
        <x:v>10.799999999999999</x:v>
      </x:c>
      <x:c r="D14" t="str">
        <x:v>Runtime, evals, marketplace, self-host</x:v>
      </x:c>
      <x:c r="H14" t="n">
        <x:v>12</x:v>
      </x:c>
      <x:c r="I14" t="n">
        <x:f>'Operating Model'!B14</x:f>
        <x:v>7.500000000000002</x:v>
      </x:c>
    </x:row>
    <x:row r="15">
      <x:c r="A15" t="str">
        <x:v>GTM</x:v>
      </x:c>
      <x:c r="B15" s="10" t="n">
        <x:v>0.25</x:v>
      </x:c>
      <x:c r="C15" s="8" t="n">
        <x:v>4.5</x:v>
      </x:c>
      <x:c r="D15" t="str">
        <x:v>Design partners to repeatable enterprise motion</x:v>
      </x:c>
      <x:c r="H15" t="n">
        <x:v>13</x:v>
      </x:c>
      <x:c r="I15" t="n">
        <x:f>'Operating Model'!B15</x:f>
        <x:v>8.708333333333334</x:v>
      </x:c>
    </x:row>
    <x:row r="16">
      <x:c r="A16" t="str">
        <x:v>Security &amp; compliance</x:v>
      </x:c>
      <x:c r="B16" s="10" t="n">
        <x:v>0.1</x:v>
      </x:c>
      <x:c r="C16" s="8" t="n">
        <x:v>1.8</x:v>
      </x:c>
      <x:c r="D16" t="str">
        <x:v>SOC2 Type II, HIPAA-adjacent readiness</x:v>
      </x:c>
      <x:c r="H16" t="n">
        <x:v>14</x:v>
      </x:c>
      <x:c r="I16" t="n">
        <x:f>'Operating Model'!B16</x:f>
        <x:v>9.916666666666666</x:v>
      </x:c>
    </x:row>
    <x:row r="17">
      <x:c r="A17" t="str">
        <x:v>Ops</x:v>
      </x:c>
      <x:c r="B17" s="10" t="n">
        <x:v>0.05</x:v>
      </x:c>
      <x:c r="C17" s="8" t="n">
        <x:v>0.9</x:v>
      </x:c>
      <x:c r="D17" t="str">
        <x:v>Finance, legal, support systems</x:v>
      </x:c>
      <x:c r="H17" t="n">
        <x:v>15</x:v>
      </x:c>
      <x:c r="I17" t="n">
        <x:f>'Operating Model'!B17</x:f>
        <x:v>11.125</x:v>
      </x:c>
    </x:row>
    <x:row r="18">
      <x:c r="H18" t="n">
        <x:v>16</x:v>
      </x:c>
      <x:c r="I18" t="n">
        <x:f>'Operating Model'!B18</x:f>
        <x:v>12.333333333333332</x:v>
      </x:c>
    </x:row>
    <x:row r="19">
      <x:c r="H19" t="n">
        <x:v>17</x:v>
      </x:c>
      <x:c r="I19" t="n">
        <x:f>'Operating Model'!B19</x:f>
        <x:v>13.541666666666668</x:v>
      </x:c>
    </x:row>
    <x:row r="20">
      <x:c r="H20" t="n">
        <x:v>18</x:v>
      </x:c>
      <x:c r="I20" t="n">
        <x:f>'Operating Model'!B20</x:f>
        <x:v>14.75</x:v>
      </x:c>
    </x:row>
    <x:row r="21">
      <x:c r="H21" t="n">
        <x:v>19</x:v>
      </x:c>
      <x:c r="I21" t="n">
        <x:f>'Operating Model'!B21</x:f>
        <x:v>15.958333333333334</x:v>
      </x:c>
    </x:row>
    <x:row r="22">
      <x:c r="H22" t="n">
        <x:v>20</x:v>
      </x:c>
      <x:c r="I22" t="n">
        <x:f>'Operating Model'!B22</x:f>
        <x:v>17.166666666666664</x:v>
      </x:c>
    </x:row>
    <x:row r="23">
      <x:c r="H23" t="n">
        <x:v>21</x:v>
      </x:c>
      <x:c r="I23" t="n">
        <x:f>'Operating Model'!B23</x:f>
        <x:v>18.375</x:v>
      </x:c>
    </x:row>
    <x:row r="24">
      <x:c r="H24" t="n">
        <x:v>22</x:v>
      </x:c>
      <x:c r="I24" t="n">
        <x:f>'Operating Model'!B24</x:f>
        <x:v>19.583333333333336</x:v>
      </x:c>
    </x:row>
    <x:row r="25">
      <x:c r="H25" t="n">
        <x:v>23</x:v>
      </x:c>
      <x:c r="I25" t="n">
        <x:f>'Operating Model'!B25</x:f>
        <x:v>20.791666666666664</x:v>
      </x:c>
    </x:row>
    <x:row r="26">
      <x:c r="H26" t="n">
        <x:v>24</x:v>
      </x:c>
      <x:c r="I26" t="n">
        <x:f>'Operating Model'!B26</x:f>
        <x:v>22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d496f4f86994715"/>
</x:worksheet>
</file>

<file path=xl/worksheets/sheet2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0.430000305175781" hidden="0" customWidth="1"/>
    <x:col min="3" max="3" width="20.25" hidden="0" customWidth="1"/>
    <x:col min="4" max="4" width="20.25" hidden="0" customWidth="1"/>
  </x:cols>
  <x:sheetData>
    <x:row r="1">
      <x:c r="A1" s="2" t="str">
        <x:v>Series A assumptions</x:v>
      </x:c>
      <x:c r="B1" s="2"/>
      <x:c r="C1" s="2"/>
      <x:c r="D1" s="2"/>
      <x:c r="E1" s="2"/>
      <x:c r="F1" s="2"/>
      <x:c r="G1" s="2"/>
      <x:c r="H1" s="2"/>
    </x:row>
    <x:row r="3">
      <x:c r="A3" s="5" t="str">
        <x:v>Round size ($M)</x:v>
      </x:c>
      <x:c r="B3" s="11" t="n">
        <x:v>18</x:v>
      </x:c>
      <x:c r="C3" s="5" t="str">
        <x:v>primary</x:v>
      </x:c>
      <x:c r="D3" s="5" t="str">
        <x:v>Room for $2M secondary if oversubscribed</x:v>
      </x:c>
    </x:row>
    <x:row r="4">
      <x:c r="A4" s="5" t="str">
        <x:v>Pre-money low ($M)</x:v>
      </x:c>
      <x:c r="B4" s="11" t="n">
        <x:v>90</x:v>
      </x:c>
      <x:c r="C4" s="5" t="str">
        <x:v>valuation</x:v>
      </x:c>
      <x:c r="D4" s="5" t="str">
        <x:v>Target range lower bound</x:v>
      </x:c>
    </x:row>
    <x:row r="5">
      <x:c r="A5" s="5" t="str">
        <x:v>Pre-money high ($M)</x:v>
      </x:c>
      <x:c r="B5" s="11" t="n">
        <x:v>110</x:v>
      </x:c>
      <x:c r="C5" s="5" t="str">
        <x:v>valuation</x:v>
      </x:c>
      <x:c r="D5" s="5" t="str">
        <x:v>Target range upper bound</x:v>
      </x:c>
    </x:row>
    <x:row r="6">
      <x:c r="A6" s="5" t="str">
        <x:v>Starting ARR ($M)</x:v>
      </x:c>
      <x:c r="B6" s="11" t="n">
        <x:v>1.6</x:v>
      </x:c>
      <x:c r="C6" s="5" t="str">
        <x:v>revenue</x:v>
      </x:c>
      <x:c r="D6" s="5" t="str">
        <x:v>T0 signal-of-intent run-rate</x:v>
      </x:c>
    </x:row>
    <x:row r="7">
      <x:c r="A7" s="5" t="str">
        <x:v>Month 12 ARR ($M)</x:v>
      </x:c>
      <x:c r="B7" s="11" t="n">
        <x:v>7.5</x:v>
      </x:c>
      <x:c r="C7" s="5" t="str">
        <x:v>revenue</x:v>
      </x:c>
      <x:c r="D7" s="5" t="str">
        <x:v>Board KPI</x:v>
      </x:c>
    </x:row>
    <x:row r="8">
      <x:c r="A8" s="5" t="str">
        <x:v>Month 24 ARR ($M)</x:v>
      </x:c>
      <x:c r="B8" s="11" t="n">
        <x:v>22</x:v>
      </x:c>
      <x:c r="C8" s="5" t="str">
        <x:v>revenue</x:v>
      </x:c>
      <x:c r="D8" s="5" t="str">
        <x:v>Board KPI</x:v>
      </x:c>
    </x:row>
    <x:row r="9">
      <x:c r="A9" s="5" t="str">
        <x:v>Starting burn ($M/mo)</x:v>
      </x:c>
      <x:c r="B9" s="11" t="n">
        <x:v>0.42</x:v>
      </x:c>
      <x:c r="C9" s="5" t="str">
        <x:v>burn</x:v>
      </x:c>
      <x:c r="D9" s="5" t="str">
        <x:v>Current steady-state</x:v>
      </x:c>
    </x:row>
    <x:row r="10">
      <x:c r="A10" s="5" t="str">
        <x:v>Month 24 burn ($M/mo)</x:v>
      </x:c>
      <x:c r="B10" s="11" t="n">
        <x:v>1.02</x:v>
      </x:c>
      <x:c r="C10" s="5" t="str">
        <x:v>burn</x:v>
      </x:c>
      <x:c r="D10" s="5" t="str">
        <x:v>Hiring plan at full speed</x:v>
      </x:c>
    </x:row>
    <x:row r="11">
      <x:c r="A11" s="5" t="str">
        <x:v>Gross margin</x:v>
      </x:c>
      <x:c r="B11" s="11" t="n">
        <x:v>0.72</x:v>
      </x:c>
      <x:c r="C11" s="5" t="str">
        <x:v>unit economics</x:v>
      </x:c>
      <x:c r="D11" s="5" t="str">
        <x:v>Inference pass-through excluded</x:v>
      </x:c>
    </x:row>
    <x:row r="12">
      <x:c r="A12" s="5" t="str">
        <x:v>Target runway months</x:v>
      </x:c>
      <x:c r="B12" s="11" t="n">
        <x:v>24</x:v>
      </x:c>
      <x:c r="C12" s="5" t="str">
        <x:v>cash</x:v>
      </x:c>
      <x:c r="D12" s="5" t="str">
        <x:v>Minimum after raise</x:v>
      </x:c>
    </x:row>
    <x:row r="13">
      <x:c r="A13" s="5" t="str">
        <x:v>Engineering allocation</x:v>
      </x:c>
      <x:c r="B13" s="11" t="n">
        <x:v>0.6</x:v>
      </x:c>
      <x:c r="C13" s="5" t="str">
        <x:v>uses</x:v>
      </x:c>
      <x:c r="D13" s="5" t="str">
        <x:v>Matches SERIES_A.md</x:v>
      </x:c>
    </x:row>
    <x:row r="14">
      <x:c r="A14" s="6" t="str">
        <x:v>GTM allocation</x:v>
      </x:c>
      <x:c r="B14" s="12" t="n">
        <x:v>0.25</x:v>
      </x:c>
      <x:c r="C14" s="6" t="str">
        <x:v>uses</x:v>
      </x:c>
      <x:c r="D14" s="6" t="str">
        <x:v>Matches SERIES_A.md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</x:cols>
  <x:sheetData>
    <x:row r="1">
      <x:c r="A1" s="4" t="str">
        <x:v>Month</x:v>
      </x:c>
      <x:c r="B1" s="4" t="str">
        <x:v>ARR ($M)</x:v>
      </x:c>
      <x:c r="C1" s="4" t="str">
        <x:v>MRR ($M)</x:v>
      </x:c>
      <x:c r="D1" s="4" t="str">
        <x:v>Gross Profit ($M)</x:v>
      </x:c>
      <x:c r="E1" s="4" t="str">
        <x:v>Burn ($M)</x:v>
      </x:c>
      <x:c r="F1" s="4" t="str">
        <x:v>Ending Cash ($M)</x:v>
      </x:c>
      <x:c r="G1" s="4" t="str">
        <x:v>Paid Logos</x:v>
      </x:c>
      <x:c r="H1" s="4" t="str">
        <x:v>Notes</x:v>
      </x:c>
    </x:row>
    <x:row r="2">
      <x:c r="A2" t="n">
        <x:v>0</x:v>
      </x:c>
      <x:c r="B2" s="11" t="n">
        <x:f>Assumptions!B6</x:f>
        <x:v>1.6</x:v>
      </x:c>
      <x:c r="C2" s="11" t="n">
        <x:f>B2/12</x:f>
        <x:v>0.13333333333333333</x:v>
      </x:c>
      <x:c r="D2" s="11" t="n">
        <x:f>C2*Assumptions!B11</x:f>
        <x:v>0.096</x:v>
      </x:c>
      <x:c r="E2" s="11" t="n">
        <x:f>Assumptions!B9+(Assumptions!B10-Assumptions!B9)*0/24</x:f>
        <x:v>0.42</x:v>
      </x:c>
      <x:c r="F2" s="11" t="n">
        <x:f>Assumptions!B3</x:f>
        <x:v>18</x:v>
      </x:c>
      <x:c r="G2" s="7" t="n">
        <x:f>ROUND(9+(90-9)*0/24,0)</x:f>
        <x:v>9</x:v>
      </x:c>
      <x:c r="H2" t="str">
        <x:v>T0</x:v>
      </x:c>
    </x:row>
    <x:row r="3">
      <x:c r="A3" t="n">
        <x:v>1</x:v>
      </x:c>
      <x:c r="B3" s="11" t="n">
        <x:f>Assumptions!B6+(Assumptions!B7-Assumptions!B6)*1/12</x:f>
        <x:v>2.091666666666667</x:v>
      </x:c>
      <x:c r="C3" s="11" t="n">
        <x:f>B3/12</x:f>
        <x:v>0.17430555555555557</x:v>
      </x:c>
      <x:c r="D3" s="11" t="n">
        <x:f>C3*Assumptions!B12</x:f>
        <x:v>4.183333333333334</x:v>
      </x:c>
      <x:c r="E3" s="11" t="n">
        <x:f>Assumptions!B9+(Assumptions!B10-Assumptions!B9)*1/24</x:f>
        <x:v>0.445</x:v>
      </x:c>
      <x:c r="F3" s="11" t="n">
        <x:f>F2+D3-E3</x:f>
        <x:v>21.738333333333333</x:v>
      </x:c>
      <x:c r="G3" s="7" t="n">
        <x:f>ROUND(9+(90-9)*1/24,0)</x:f>
        <x:v>12</x:v>
      </x:c>
      <x:c r="H3" t="str"/>
    </x:row>
    <x:row r="4">
      <x:c r="A4" t="n">
        <x:v>2</x:v>
      </x:c>
      <x:c r="B4" s="11" t="n">
        <x:f>Assumptions!B6+(Assumptions!B7-Assumptions!B6)*2/12</x:f>
        <x:v>2.5833333333333335</x:v>
      </x:c>
      <x:c r="C4" s="11" t="n">
        <x:f>B4/12</x:f>
        <x:v>0.2152777777777778</x:v>
      </x:c>
      <x:c r="D4" s="11" t="n">
        <x:f>C4*Assumptions!B13</x:f>
        <x:v>0.12916666666666668</x:v>
      </x:c>
      <x:c r="E4" s="11" t="n">
        <x:f>Assumptions!B9+(Assumptions!B10-Assumptions!B9)*2/24</x:f>
        <x:v>0.47</x:v>
      </x:c>
      <x:c r="F4" s="11" t="n">
        <x:f>F3+D4-E4</x:f>
        <x:v>21.3975</x:v>
      </x:c>
      <x:c r="G4" s="7" t="n">
        <x:f>ROUND(9+(90-9)*2/24,0)</x:f>
        <x:v>16</x:v>
      </x:c>
      <x:c r="H4" t="str"/>
    </x:row>
    <x:row r="5">
      <x:c r="A5" t="n">
        <x:v>3</x:v>
      </x:c>
      <x:c r="B5" s="11" t="n">
        <x:f>Assumptions!B6+(Assumptions!B7-Assumptions!B6)*3/12</x:f>
        <x:v>3.075</x:v>
      </x:c>
      <x:c r="C5" s="11" t="n">
        <x:f>B5/12</x:f>
        <x:v>0.25625000000000003</x:v>
      </x:c>
      <x:c r="D5" s="11" t="n">
        <x:f>C5*Assumptions!B14</x:f>
        <x:v>0.06406250000000001</x:v>
      </x:c>
      <x:c r="E5" s="11" t="n">
        <x:f>Assumptions!B9+(Assumptions!B10-Assumptions!B9)*3/24</x:f>
        <x:v>0.495</x:v>
      </x:c>
      <x:c r="F5" s="11" t="n">
        <x:f>F4+D5-E5</x:f>
        <x:v>20.9665625</x:v>
      </x:c>
      <x:c r="G5" s="7" t="n">
        <x:f>ROUND(9+(90-9)*3/24,0)</x:f>
        <x:v>19</x:v>
      </x:c>
      <x:c r="H5" t="str"/>
    </x:row>
    <x:row r="6">
      <x:c r="A6" t="n">
        <x:v>4</x:v>
      </x:c>
      <x:c r="B6" s="11" t="n">
        <x:f>Assumptions!B6+(Assumptions!B7-Assumptions!B6)*4/12</x:f>
        <x:v>3.566666666666667</x:v>
      </x:c>
      <x:c r="C6" s="11" t="n">
        <x:f>B6/12</x:f>
        <x:v>0.2972222222222222</x:v>
      </x:c>
      <x:c r="D6" s="11" t="n">
        <x:f>C6*Assumptions!B15</x:f>
        <x:v>0</x:v>
      </x:c>
      <x:c r="E6" s="11" t="n">
        <x:f>Assumptions!B9+(Assumptions!B10-Assumptions!B9)*4/24</x:f>
        <x:v>0.52</x:v>
      </x:c>
      <x:c r="F6" s="11" t="n">
        <x:f>F5+D6-E6</x:f>
        <x:v>20.4465625</x:v>
      </x:c>
      <x:c r="G6" s="7" t="n">
        <x:f>ROUND(9+(90-9)*4/24,0)</x:f>
        <x:v>23</x:v>
      </x:c>
      <x:c r="H6" t="str"/>
    </x:row>
    <x:row r="7">
      <x:c r="A7" t="n">
        <x:v>5</x:v>
      </x:c>
      <x:c r="B7" s="11" t="n">
        <x:f>Assumptions!B6+(Assumptions!B7-Assumptions!B6)*5/12</x:f>
        <x:v>4.058333333333334</x:v>
      </x:c>
      <x:c r="C7" s="11" t="n">
        <x:f>B7/12</x:f>
        <x:v>0.33819444444444446</x:v>
      </x:c>
      <x:c r="D7" s="11" t="n">
        <x:f>C7*Assumptions!B16</x:f>
        <x:v>0</x:v>
      </x:c>
      <x:c r="E7" s="11" t="n">
        <x:f>Assumptions!B9+(Assumptions!B10-Assumptions!B9)*5/24</x:f>
        <x:v>0.545</x:v>
      </x:c>
      <x:c r="F7" s="11" t="n">
        <x:f>F6+D7-E7</x:f>
        <x:v>19.901562499999997</x:v>
      </x:c>
      <x:c r="G7" s="7" t="n">
        <x:f>ROUND(9+(90-9)*5/24,0)</x:f>
        <x:v>26</x:v>
      </x:c>
      <x:c r="H7" t="str"/>
    </x:row>
    <x:row r="8">
      <x:c r="A8" t="n">
        <x:v>6</x:v>
      </x:c>
      <x:c r="B8" s="11" t="n">
        <x:f>Assumptions!B6+(Assumptions!B7-Assumptions!B6)*6/12</x:f>
        <x:v>4.550000000000001</x:v>
      </x:c>
      <x:c r="C8" s="11" t="n">
        <x:f>B8/12</x:f>
        <x:v>0.3791666666666667</x:v>
      </x:c>
      <x:c r="D8" s="11" t="n">
        <x:f>C8*Assumptions!B17</x:f>
        <x:v>0</x:v>
      </x:c>
      <x:c r="E8" s="11" t="n">
        <x:f>Assumptions!B9+(Assumptions!B10-Assumptions!B9)*6/24</x:f>
        <x:v>0.5700000000000001</x:v>
      </x:c>
      <x:c r="F8" s="11" t="n">
        <x:f>F7+D8-E8</x:f>
        <x:v>19.331562499999997</x:v>
      </x:c>
      <x:c r="G8" s="7" t="n">
        <x:f>ROUND(9+(90-9)*6/24,0)</x:f>
        <x:v>29</x:v>
      </x:c>
      <x:c r="H8" t="str"/>
    </x:row>
    <x:row r="9">
      <x:c r="A9" t="n">
        <x:v>7</x:v>
      </x:c>
      <x:c r="B9" s="11" t="n">
        <x:f>Assumptions!B6+(Assumptions!B7-Assumptions!B6)*7/12</x:f>
        <x:v>5.041666666666667</x:v>
      </x:c>
      <x:c r="C9" s="11" t="n">
        <x:f>B9/12</x:f>
        <x:v>0.4201388888888889</x:v>
      </x:c>
      <x:c r="D9" s="11" t="n">
        <x:f>C9*Assumptions!B18</x:f>
        <x:v>0</x:v>
      </x:c>
      <x:c r="E9" s="11" t="n">
        <x:f>Assumptions!B9+(Assumptions!B10-Assumptions!B9)*7/24</x:f>
        <x:v>0.595</x:v>
      </x:c>
      <x:c r="F9" s="11" t="n">
        <x:f>F8+D9-E9</x:f>
        <x:v>18.736562499999998</x:v>
      </x:c>
      <x:c r="G9" s="7" t="n">
        <x:f>ROUND(9+(90-9)*7/24,0)</x:f>
        <x:v>33</x:v>
      </x:c>
      <x:c r="H9" t="str"/>
    </x:row>
    <x:row r="10">
      <x:c r="A10" t="n">
        <x:v>8</x:v>
      </x:c>
      <x:c r="B10" s="11" t="n">
        <x:f>Assumptions!B6+(Assumptions!B7-Assumptions!B6)*8/12</x:f>
        <x:v>5.533333333333333</x:v>
      </x:c>
      <x:c r="C10" s="11" t="n">
        <x:f>B10/12</x:f>
        <x:v>0.4611111111111111</x:v>
      </x:c>
      <x:c r="D10" s="11" t="n">
        <x:f>C10*Assumptions!B19</x:f>
        <x:v>0</x:v>
      </x:c>
      <x:c r="E10" s="11" t="n">
        <x:f>Assumptions!B9+(Assumptions!B10-Assumptions!B9)*8/24</x:f>
        <x:v>0.62</x:v>
      </x:c>
      <x:c r="F10" s="11" t="n">
        <x:f>F9+D10-E10</x:f>
        <x:v>18.116562499999997</x:v>
      </x:c>
      <x:c r="G10" s="7" t="n">
        <x:f>ROUND(9+(90-9)*8/24,0)</x:f>
        <x:v>36</x:v>
      </x:c>
      <x:c r="H10" t="str"/>
    </x:row>
    <x:row r="11">
      <x:c r="A11" t="n">
        <x:v>9</x:v>
      </x:c>
      <x:c r="B11" s="11" t="n">
        <x:f>Assumptions!B6+(Assumptions!B7-Assumptions!B6)*9/12</x:f>
        <x:v>6.025</x:v>
      </x:c>
      <x:c r="C11" s="11" t="n">
        <x:f>B11/12</x:f>
        <x:v>0.5020833333333333</x:v>
      </x:c>
      <x:c r="D11" s="11" t="n">
        <x:f>C11*Assumptions!B20</x:f>
        <x:v>0</x:v>
      </x:c>
      <x:c r="E11" s="11" t="n">
        <x:f>Assumptions!B9+(Assumptions!B10-Assumptions!B9)*9/24</x:f>
        <x:v>0.645</x:v>
      </x:c>
      <x:c r="F11" s="11" t="n">
        <x:f>F10+D11-E11</x:f>
        <x:v>17.471562499999997</x:v>
      </x:c>
      <x:c r="G11" s="7" t="n">
        <x:f>ROUND(9+(90-9)*9/24,0)</x:f>
        <x:v>39</x:v>
      </x:c>
      <x:c r="H11" t="str"/>
    </x:row>
    <x:row r="12">
      <x:c r="A12" t="n">
        <x:v>10</x:v>
      </x:c>
      <x:c r="B12" s="11" t="n">
        <x:f>Assumptions!B6+(Assumptions!B7-Assumptions!B6)*10/12</x:f>
        <x:v>6.5166666666666675</x:v>
      </x:c>
      <x:c r="C12" s="11" t="n">
        <x:f>B12/12</x:f>
        <x:v>0.5430555555555556</x:v>
      </x:c>
      <x:c r="D12" s="11" t="n">
        <x:f>C12*Assumptions!B21</x:f>
        <x:v>0</x:v>
      </x:c>
      <x:c r="E12" s="11" t="n">
        <x:f>Assumptions!B9+(Assumptions!B10-Assumptions!B9)*10/24</x:f>
        <x:v>0.67</x:v>
      </x:c>
      <x:c r="F12" s="11" t="n">
        <x:f>F11+D12-E12</x:f>
        <x:v>16.801562499999996</x:v>
      </x:c>
      <x:c r="G12" s="7" t="n">
        <x:f>ROUND(9+(90-9)*10/24,0)</x:f>
        <x:v>43</x:v>
      </x:c>
      <x:c r="H12" t="str"/>
    </x:row>
    <x:row r="13">
      <x:c r="A13" t="n">
        <x:v>11</x:v>
      </x:c>
      <x:c r="B13" s="11" t="n">
        <x:f>Assumptions!B6+(Assumptions!B7-Assumptions!B6)*11/12</x:f>
        <x:v>7.008333333333335</x:v>
      </x:c>
      <x:c r="C13" s="11" t="n">
        <x:f>B13/12</x:f>
        <x:v>0.5840277777777779</x:v>
      </x:c>
      <x:c r="D13" s="11" t="n">
        <x:f>C13*Assumptions!B22</x:f>
        <x:v>0</x:v>
      </x:c>
      <x:c r="E13" s="11" t="n">
        <x:f>Assumptions!B9+(Assumptions!B10-Assumptions!B9)*11/24</x:f>
        <x:v>0.6950000000000001</x:v>
      </x:c>
      <x:c r="F13" s="11" t="n">
        <x:f>F12+D13-E13</x:f>
        <x:v>16.106562499999995</x:v>
      </x:c>
      <x:c r="G13" s="7" t="n">
        <x:f>ROUND(9+(90-9)*11/24,0)</x:f>
        <x:v>46</x:v>
      </x:c>
      <x:c r="H13" t="str"/>
    </x:row>
    <x:row r="14">
      <x:c r="A14" t="n">
        <x:v>12</x:v>
      </x:c>
      <x:c r="B14" s="11" t="n">
        <x:f>Assumptions!B6+(Assumptions!B7-Assumptions!B6)*12/12</x:f>
        <x:v>7.500000000000002</x:v>
      </x:c>
      <x:c r="C14" s="11" t="n">
        <x:f>B14/12</x:f>
        <x:v>0.6250000000000001</x:v>
      </x:c>
      <x:c r="D14" s="11" t="n">
        <x:f>C14*Assumptions!B23</x:f>
        <x:v>0</x:v>
      </x:c>
      <x:c r="E14" s="11" t="n">
        <x:f>Assumptions!B9+(Assumptions!B10-Assumptions!B9)*12/24</x:f>
        <x:v>0.72</x:v>
      </x:c>
      <x:c r="F14" s="11" t="n">
        <x:f>F13+D14-E14</x:f>
        <x:v>15.386562499999995</x:v>
      </x:c>
      <x:c r="G14" s="7" t="n">
        <x:f>ROUND(9+(90-9)*12/24,0)</x:f>
        <x:v>50</x:v>
      </x:c>
      <x:c r="H14" t="str">
        <x:v>+12mo KPI</x:v>
      </x:c>
    </x:row>
    <x:row r="15">
      <x:c r="A15" t="n">
        <x:v>13</x:v>
      </x:c>
      <x:c r="B15" s="11" t="n">
        <x:f>Assumptions!B7+(Assumptions!B8-Assumptions!B7)*(13-12)/12</x:f>
        <x:v>8.708333333333334</x:v>
      </x:c>
      <x:c r="C15" s="11" t="n">
        <x:f>B15/12</x:f>
        <x:v>0.7256944444444445</x:v>
      </x:c>
      <x:c r="D15" s="11" t="n">
        <x:f>C15*Assumptions!B24</x:f>
        <x:v>0</x:v>
      </x:c>
      <x:c r="E15" s="11" t="n">
        <x:f>Assumptions!B9+(Assumptions!B10-Assumptions!B9)*13/24</x:f>
        <x:v>0.745</x:v>
      </x:c>
      <x:c r="F15" s="11" t="n">
        <x:f>F14+D15-E15</x:f>
        <x:v>14.641562499999996</x:v>
      </x:c>
      <x:c r="G15" s="7" t="n">
        <x:f>ROUND(9+(90-9)*13/24,0)</x:f>
        <x:v>53</x:v>
      </x:c>
      <x:c r="H15" t="str"/>
    </x:row>
    <x:row r="16">
      <x:c r="A16" t="n">
        <x:v>14</x:v>
      </x:c>
      <x:c r="B16" s="11" t="n">
        <x:f>Assumptions!B7+(Assumptions!B8-Assumptions!B7)*(14-12)/12</x:f>
        <x:v>9.916666666666666</x:v>
      </x:c>
      <x:c r="C16" s="11" t="n">
        <x:f>B16/12</x:f>
        <x:v>0.8263888888888888</x:v>
      </x:c>
      <x:c r="D16" s="11" t="n">
        <x:f>C16*Assumptions!B25</x:f>
        <x:v>0</x:v>
      </x:c>
      <x:c r="E16" s="11" t="n">
        <x:f>Assumptions!B9+(Assumptions!B10-Assumptions!B9)*14/24</x:f>
        <x:v>0.77</x:v>
      </x:c>
      <x:c r="F16" s="11" t="n">
        <x:f>F15+D16-E16</x:f>
        <x:v>13.871562499999996</x:v>
      </x:c>
      <x:c r="G16" s="7" t="n">
        <x:f>ROUND(9+(90-9)*14/24,0)</x:f>
        <x:v>56</x:v>
      </x:c>
      <x:c r="H16" t="str"/>
    </x:row>
    <x:row r="17">
      <x:c r="A17" t="n">
        <x:v>15</x:v>
      </x:c>
      <x:c r="B17" s="11" t="n">
        <x:f>Assumptions!B7+(Assumptions!B8-Assumptions!B7)*(15-12)/12</x:f>
        <x:v>11.125</x:v>
      </x:c>
      <x:c r="C17" s="11" t="n">
        <x:f>B17/12</x:f>
        <x:v>0.9270833333333334</x:v>
      </x:c>
      <x:c r="D17" s="11" t="n">
        <x:f>C17*Assumptions!B26</x:f>
        <x:v>0</x:v>
      </x:c>
      <x:c r="E17" s="11" t="n">
        <x:f>Assumptions!B9+(Assumptions!B10-Assumptions!B9)*15/24</x:f>
        <x:v>0.795</x:v>
      </x:c>
      <x:c r="F17" s="11" t="n">
        <x:f>F16+D17-E17</x:f>
        <x:v>13.076562499999996</x:v>
      </x:c>
      <x:c r="G17" s="7" t="n">
        <x:f>ROUND(9+(90-9)*15/24,0)</x:f>
        <x:v>60</x:v>
      </x:c>
      <x:c r="H17" t="str"/>
    </x:row>
    <x:row r="18">
      <x:c r="A18" t="n">
        <x:v>16</x:v>
      </x:c>
      <x:c r="B18" s="11" t="n">
        <x:f>Assumptions!B7+(Assumptions!B8-Assumptions!B7)*(16-12)/12</x:f>
        <x:v>12.333333333333332</x:v>
      </x:c>
      <x:c r="C18" s="11" t="n">
        <x:f>B18/12</x:f>
        <x:v>1.0277777777777777</x:v>
      </x:c>
      <x:c r="D18" s="11" t="n">
        <x:f>C18*Assumptions!B27</x:f>
        <x:v>0</x:v>
      </x:c>
      <x:c r="E18" s="11" t="n">
        <x:f>Assumptions!B9+(Assumptions!B10-Assumptions!B9)*16/24</x:f>
        <x:v>0.8200000000000001</x:v>
      </x:c>
      <x:c r="F18" s="11" t="n">
        <x:f>F17+D18-E18</x:f>
        <x:v>12.256562499999996</x:v>
      </x:c>
      <x:c r="G18" s="7" t="n">
        <x:f>ROUND(9+(90-9)*16/24,0)</x:f>
        <x:v>63</x:v>
      </x:c>
      <x:c r="H18" t="str"/>
    </x:row>
    <x:row r="19">
      <x:c r="A19" t="n">
        <x:v>17</x:v>
      </x:c>
      <x:c r="B19" s="11" t="n">
        <x:f>Assumptions!B7+(Assumptions!B8-Assumptions!B7)*(17-12)/12</x:f>
        <x:v>13.541666666666668</x:v>
      </x:c>
      <x:c r="C19" s="11" t="n">
        <x:f>B19/12</x:f>
        <x:v>1.1284722222222223</x:v>
      </x:c>
      <x:c r="D19" s="11" t="n">
        <x:f>C19*Assumptions!B28</x:f>
        <x:v>0</x:v>
      </x:c>
      <x:c r="E19" s="11" t="n">
        <x:f>Assumptions!B9+(Assumptions!B10-Assumptions!B9)*17/24</x:f>
        <x:v>0.845</x:v>
      </x:c>
      <x:c r="F19" s="11" t="n">
        <x:f>F18+D19-E19</x:f>
        <x:v>11.411562499999995</x:v>
      </x:c>
      <x:c r="G19" s="7" t="n">
        <x:f>ROUND(9+(90-9)*17/24,0)</x:f>
        <x:v>66</x:v>
      </x:c>
      <x:c r="H19" t="str"/>
    </x:row>
    <x:row r="20">
      <x:c r="A20" t="n">
        <x:v>18</x:v>
      </x:c>
      <x:c r="B20" s="11" t="n">
        <x:f>Assumptions!B7+(Assumptions!B8-Assumptions!B7)*(18-12)/12</x:f>
        <x:v>14.75</x:v>
      </x:c>
      <x:c r="C20" s="11" t="n">
        <x:f>B20/12</x:f>
        <x:v>1.2291666666666667</x:v>
      </x:c>
      <x:c r="D20" s="11" t="n">
        <x:f>C20*Assumptions!B29</x:f>
        <x:v>0</x:v>
      </x:c>
      <x:c r="E20" s="11" t="n">
        <x:f>Assumptions!B9+(Assumptions!B10-Assumptions!B9)*18/24</x:f>
        <x:v>0.87</x:v>
      </x:c>
      <x:c r="F20" s="11" t="n">
        <x:f>F19+D20-E20</x:f>
        <x:v>10.541562499999996</x:v>
      </x:c>
      <x:c r="G20" s="7" t="n">
        <x:f>ROUND(9+(90-9)*18/24,0)</x:f>
        <x:v>70</x:v>
      </x:c>
      <x:c r="H20" t="str"/>
    </x:row>
    <x:row r="21">
      <x:c r="A21" t="n">
        <x:v>19</x:v>
      </x:c>
      <x:c r="B21" s="11" t="n">
        <x:f>Assumptions!B7+(Assumptions!B8-Assumptions!B7)*(19-12)/12</x:f>
        <x:v>15.958333333333334</x:v>
      </x:c>
      <x:c r="C21" s="11" t="n">
        <x:f>B21/12</x:f>
        <x:v>1.3298611111111112</x:v>
      </x:c>
      <x:c r="D21" s="11" t="n">
        <x:f>C21*Assumptions!B30</x:f>
        <x:v>0</x:v>
      </x:c>
      <x:c r="E21" s="11" t="n">
        <x:f>Assumptions!B9+(Assumptions!B10-Assumptions!B9)*19/24</x:f>
        <x:v>0.895</x:v>
      </x:c>
      <x:c r="F21" s="11" t="n">
        <x:f>F20+D21-E21</x:f>
        <x:v>9.646562499999996</x:v>
      </x:c>
      <x:c r="G21" s="7" t="n">
        <x:f>ROUND(9+(90-9)*19/24,0)</x:f>
        <x:v>73</x:v>
      </x:c>
      <x:c r="H21" t="str"/>
    </x:row>
    <x:row r="22">
      <x:c r="A22" t="n">
        <x:v>20</x:v>
      </x:c>
      <x:c r="B22" s="11" t="n">
        <x:f>Assumptions!B7+(Assumptions!B8-Assumptions!B7)*(20-12)/12</x:f>
        <x:v>17.166666666666664</x:v>
      </x:c>
      <x:c r="C22" s="11" t="n">
        <x:f>B22/12</x:f>
        <x:v>1.4305555555555554</x:v>
      </x:c>
      <x:c r="D22" s="11" t="n">
        <x:f>C22*Assumptions!B31</x:f>
        <x:v>0</x:v>
      </x:c>
      <x:c r="E22" s="11" t="n">
        <x:f>Assumptions!B9+(Assumptions!B10-Assumptions!B9)*20/24</x:f>
        <x:v>0.9200000000000002</x:v>
      </x:c>
      <x:c r="F22" s="11" t="n">
        <x:f>F21+D22-E22</x:f>
        <x:v>8.726562499999996</x:v>
      </x:c>
      <x:c r="G22" s="7" t="n">
        <x:f>ROUND(9+(90-9)*20/24,0)</x:f>
        <x:v>77</x:v>
      </x:c>
      <x:c r="H22" t="str"/>
    </x:row>
    <x:row r="23">
      <x:c r="A23" t="n">
        <x:v>21</x:v>
      </x:c>
      <x:c r="B23" s="11" t="n">
        <x:f>Assumptions!B7+(Assumptions!B8-Assumptions!B7)*(21-12)/12</x:f>
        <x:v>18.375</x:v>
      </x:c>
      <x:c r="C23" s="11" t="n">
        <x:f>B23/12</x:f>
        <x:v>1.53125</x:v>
      </x:c>
      <x:c r="D23" s="11" t="n">
        <x:f>C23*Assumptions!B32</x:f>
        <x:v>0</x:v>
      </x:c>
      <x:c r="E23" s="11" t="n">
        <x:f>Assumptions!B9+(Assumptions!B10-Assumptions!B9)*21/24</x:f>
        <x:v>0.9450000000000001</x:v>
      </x:c>
      <x:c r="F23" s="11" t="n">
        <x:f>F22+D23-E23</x:f>
        <x:v>7.781562499999996</x:v>
      </x:c>
      <x:c r="G23" s="7" t="n">
        <x:f>ROUND(9+(90-9)*21/24,0)</x:f>
        <x:v>80</x:v>
      </x:c>
      <x:c r="H23" t="str"/>
    </x:row>
    <x:row r="24">
      <x:c r="A24" t="n">
        <x:v>22</x:v>
      </x:c>
      <x:c r="B24" s="11" t="n">
        <x:f>Assumptions!B7+(Assumptions!B8-Assumptions!B7)*(22-12)/12</x:f>
        <x:v>19.583333333333336</x:v>
      </x:c>
      <x:c r="C24" s="11" t="n">
        <x:f>B24/12</x:f>
        <x:v>1.6319444444444446</x:v>
      </x:c>
      <x:c r="D24" s="11" t="n">
        <x:f>C24*Assumptions!B33</x:f>
        <x:v>0</x:v>
      </x:c>
      <x:c r="E24" s="11" t="n">
        <x:f>Assumptions!B9+(Assumptions!B10-Assumptions!B9)*22/24</x:f>
        <x:v>0.9700000000000002</x:v>
      </x:c>
      <x:c r="F24" s="11" t="n">
        <x:f>F23+D24-E24</x:f>
        <x:v>6.8115624999999955</x:v>
      </x:c>
      <x:c r="G24" s="7" t="n">
        <x:f>ROUND(9+(90-9)*22/24,0)</x:f>
        <x:v>83</x:v>
      </x:c>
      <x:c r="H24" t="str"/>
    </x:row>
    <x:row r="25">
      <x:c r="A25" t="n">
        <x:v>23</x:v>
      </x:c>
      <x:c r="B25" s="11" t="n">
        <x:f>Assumptions!B7+(Assumptions!B8-Assumptions!B7)*(23-12)/12</x:f>
        <x:v>20.791666666666664</x:v>
      </x:c>
      <x:c r="C25" s="11" t="n">
        <x:f>B25/12</x:f>
        <x:v>1.7326388888888886</x:v>
      </x:c>
      <x:c r="D25" s="11" t="n">
        <x:f>C25*Assumptions!B34</x:f>
        <x:v>0</x:v>
      </x:c>
      <x:c r="E25" s="11" t="n">
        <x:f>Assumptions!B9+(Assumptions!B10-Assumptions!B9)*23/24</x:f>
        <x:v>0.9950000000000001</x:v>
      </x:c>
      <x:c r="F25" s="11" t="n">
        <x:f>F24+D25-E25</x:f>
        <x:v>5.816562499999995</x:v>
      </x:c>
      <x:c r="G25" s="7" t="n">
        <x:f>ROUND(9+(90-9)*23/24,0)</x:f>
        <x:v>87</x:v>
      </x:c>
      <x:c r="H25" t="str"/>
    </x:row>
    <x:row r="26">
      <x:c r="A26" t="n">
        <x:v>24</x:v>
      </x:c>
      <x:c r="B26" s="11" t="n">
        <x:f>Assumptions!B7+(Assumptions!B8-Assumptions!B7)*(24-12)/12</x:f>
        <x:v>22</x:v>
      </x:c>
      <x:c r="C26" s="11" t="n">
        <x:f>B26/12</x:f>
        <x:v>1.8333333333333333</x:v>
      </x:c>
      <x:c r="D26" s="11" t="n">
        <x:f>C26*Assumptions!B35</x:f>
        <x:v>0</x:v>
      </x:c>
      <x:c r="E26" s="11" t="n">
        <x:f>Assumptions!B9+(Assumptions!B10-Assumptions!B9)*24/24</x:f>
        <x:v>1.02</x:v>
      </x:c>
      <x:c r="F26" s="11" t="n">
        <x:f>F25+D26-E26</x:f>
        <x:v>4.796562499999995</x:v>
      </x:c>
      <x:c r="G26" s="7" t="n">
        <x:f>ROUND(9+(90-9)*24/24,0)</x:f>
        <x:v>90</x:v>
      </x:c>
      <x:c r="H26" t="str">
        <x:v>+24mo KPI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22.700000762939453" hidden="0" customWidth="1"/>
    <x:col min="3" max="3" width="22.700000762939453" hidden="0" customWidth="1"/>
  </x:cols>
  <x:sheetData>
    <x:row r="1">
      <x:c r="A1" s="4" t="str">
        <x:v>Check</x:v>
      </x:c>
      <x:c r="B1" s="4" t="str">
        <x:v>Formula</x:v>
      </x:c>
      <x:c r="C1" s="4" t="str">
        <x:v>Status</x:v>
      </x:c>
      <x:c r="D1" s="2"/>
      <x:c r="E1" s="2"/>
      <x:c r="F1" s="2"/>
      <x:c r="G1" s="2"/>
      <x:c r="H1" s="2"/>
    </x:row>
    <x:row r="2">
      <x:c r="A2" t="str">
        <x:v>Ending cash positive</x:v>
      </x:c>
      <x:c r="B2" t="str">
        <x:v>Operating Model!F26 &gt; 0</x:v>
      </x:c>
      <x:c r="C2" t="str">
        <x:f>IF('Operating Model'!F26&gt;0,"PASS","FAIL")</x:f>
        <x:v>PASS</x:v>
      </x:c>
    </x:row>
    <x:row r="3">
      <x:c r="A3" t="str">
        <x:v>Month 24 ARR target</x:v>
      </x:c>
      <x:c r="B3" t="str">
        <x:v>Operating Model!B26 &gt;= 22</x:v>
      </x:c>
      <x:c r="C3" t="str">
        <x:f>IF('Operating Model'!B26&gt;=22,"PASS","FAIL")</x:f>
        <x:v>PASS</x:v>
      </x:c>
    </x:row>
    <x:row r="4">
      <x:c r="A4" t="str">
        <x:v>Uses sum to 100%</x:v>
      </x:c>
      <x:c r="B4" t="str">
        <x:v>Summary!B14:B17</x:v>
      </x:c>
      <x:c r="C4" t="str">
        <x:f>IF(ABS(SUM(Summary!B14:B17)-1)&lt;0.0001,"PASS","FAIL")</x:f>
        <x:v>PASS</x:v>
      </x:c>
    </x:row>
    <x:row r="5">
      <x:c r="A5" t="str">
        <x:v>Runway target</x:v>
      </x:c>
      <x:c r="B5" t="str">
        <x:v>Summary!D10 &gt;= 24</x:v>
      </x:c>
      <x:c r="C5" t="str">
        <x:f>IF(Summary!D10&gt;=24,"PASS","FAIL")</x:f>
        <x:v>PASS</x:v>
      </x:c>
    </x:row>
  </x:sheetData>
  <x:pageMargins left="0.7" right="0.7" top="0.75" bottom="0.75" header="0.3" footer="0.3"/>
</x:worksheet>
</file>