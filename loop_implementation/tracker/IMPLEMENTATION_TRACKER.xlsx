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pics" sheetId="2" state="visible" r:id="rId4"/>
    <sheet name="Stories" sheetId="3" state="visible" r:id="rId5"/>
    <sheet name="Sprints" sheetId="4" state="visible" r:id="rId6"/>
    <sheet name="Hiring" sheetId="5" state="visible" r:id="rId7"/>
    <sheet name="Risks" sheetId="6" state="visible" r:id="rId8"/>
    <sheet name="Roadmap" sheetId="7" state="visible" r:id="rId9"/>
    <sheet name="Budge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<sst xmlns="http://schemas.openxmlformats.org/spreadsheetml/2006/main" count="891" uniqueCount="437">
  <si>
    <t xml:space="preserve">Loop — Implementation Tracker</t>
  </si>
  <si>
    <t xml:space="preserve">Companion to /loop_implementation/. Update weekly.</t>
  </si>
  <si>
    <t xml:space="preserve">Owner</t>
  </si>
  <si>
    <t xml:space="preserve">CTO</t>
  </si>
  <si>
    <t xml:space="preserve">Last updated</t>
  </si>
  <si>
    <t xml:space="preserve">Sprint length</t>
  </si>
  <si>
    <t xml:space="preserve">2 weeks (Sprint 0 is 6w bootstrap)</t>
  </si>
  <si>
    <t xml:space="preserve">Working days / sprint</t>
  </si>
  <si>
    <t xml:space="preserve">Quick links</t>
  </si>
  <si>
    <t xml:space="preserve">Architecture</t>
  </si>
  <si>
    <t xml:space="preserve">loop_implementation/architecture/ARCHITECTURE.md</t>
  </si>
  <si>
    <t xml:space="preserve">Data model</t>
  </si>
  <si>
    <t xml:space="preserve">loop_implementation/data/SCHEMA.md</t>
  </si>
  <si>
    <t xml:space="preserve">API spec</t>
  </si>
  <si>
    <t xml:space="preserve">loop_implementation/api/openapi.yaml</t>
  </si>
  <si>
    <t xml:space="preserve">ADRs</t>
  </si>
  <si>
    <t xml:space="preserve">loop_implementation/adrs/README.md</t>
  </si>
  <si>
    <t xml:space="preserve">UX/UI</t>
  </si>
  <si>
    <t xml:space="preserve">loop_implementation/ux/UX_DESIGN.md</t>
  </si>
  <si>
    <t xml:space="preserve">Engineering handbook</t>
  </si>
  <si>
    <t xml:space="preserve">loop_implementation/engineering/HANDBOOK.md</t>
  </si>
  <si>
    <t xml:space="preserve">Security</t>
  </si>
  <si>
    <t xml:space="preserve">loop_implementation/engineering/SECURITY.md</t>
  </si>
  <si>
    <t xml:space="preserve">Testing</t>
  </si>
  <si>
    <t xml:space="preserve">loop_implementation/engineering/TESTING.md</t>
  </si>
  <si>
    <t xml:space="preserve">Sprint 0 plan</t>
  </si>
  <si>
    <t xml:space="preserve">loop_implementation/tracker/SPRINT_0.md</t>
  </si>
  <si>
    <t xml:space="preserve">Master spec</t>
  </si>
  <si>
    <t xml:space="preserve">botpress_competitor_spec.md</t>
  </si>
  <si>
    <t xml:space="preserve">Status legend</t>
  </si>
  <si>
    <t xml:space="preserve">Done</t>
  </si>
  <si>
    <t xml:space="preserve">In progress</t>
  </si>
  <si>
    <t xml:space="preserve">Blocked</t>
  </si>
  <si>
    <t xml:space="preserve">At risk</t>
  </si>
  <si>
    <t xml:space="preserve">Not started</t>
  </si>
  <si>
    <t xml:space="preserve">Epics</t>
  </si>
  <si>
    <t xml:space="preserve">High-level workstreams. Each epic owns multiple stories on the Stories sheet.</t>
  </si>
  <si>
    <t xml:space="preserve">ID</t>
  </si>
  <si>
    <t xml:space="preserve">Epic</t>
  </si>
  <si>
    <t xml:space="preserve">Target milestone</t>
  </si>
  <si>
    <t xml:space="preserve">Status</t>
  </si>
  <si>
    <t xml:space="preserve">Stories total</t>
  </si>
  <si>
    <t xml:space="preserve">Stories done</t>
  </si>
  <si>
    <t xml:space="preserve">% complete</t>
  </si>
  <si>
    <t xml:space="preserve">Notes</t>
  </si>
  <si>
    <t xml:space="preserve">E1</t>
  </si>
  <si>
    <t xml:space="preserve">Agent runtime core</t>
  </si>
  <si>
    <t xml:space="preserve">Eng #1</t>
  </si>
  <si>
    <t xml:space="preserve">MVP M6</t>
  </si>
  <si>
    <t xml:space="preserve">Hot path: TurnExecutor, streaming, budgets, idempotency</t>
  </si>
  <si>
    <t xml:space="preserve">E2</t>
  </si>
  <si>
    <t xml:space="preserve">LLM Gateway</t>
  </si>
  <si>
    <t xml:space="preserve">Multi-provider, semantic cache, cost accounting</t>
  </si>
  <si>
    <t xml:space="preserve">E3</t>
  </si>
  <si>
    <t xml:space="preserve">MCP / Tool layer</t>
  </si>
  <si>
    <t xml:space="preserve">Auto-MCP, Firecracker sandboxes, allow-lists</t>
  </si>
  <si>
    <t xml:space="preserve">E4</t>
  </si>
  <si>
    <t xml:space="preserve">Memory tiers</t>
  </si>
  <si>
    <t xml:space="preserve">User/session/scratch + episodic at M7</t>
  </si>
  <si>
    <t xml:space="preserve">E5</t>
  </si>
  <si>
    <t xml:space="preserve">KB / RAG engine</t>
  </si>
  <si>
    <t xml:space="preserve">PDF/web/Notion + hybrid retrieval + vision</t>
  </si>
  <si>
    <t xml:space="preserve">E6</t>
  </si>
  <si>
    <t xml:space="preserve">Channel adapters</t>
  </si>
  <si>
    <t xml:space="preserve">Eng #7</t>
  </si>
  <si>
    <t xml:space="preserve">Rolling</t>
  </si>
  <si>
    <t xml:space="preserve">Web, Slack, WhatsApp, SMS first</t>
  </si>
  <si>
    <t xml:space="preserve">E7</t>
  </si>
  <si>
    <t xml:space="preserve">Voice subsystem</t>
  </si>
  <si>
    <t xml:space="preserve">Eng #3</t>
  </si>
  <si>
    <t xml:space="preserve">WebRTC + STT + TTS + barge-in. Sub-700ms p50</t>
  </si>
  <si>
    <t xml:space="preserve">E8</t>
  </si>
  <si>
    <t xml:space="preserve">Eval harness</t>
  </si>
  <si>
    <t xml:space="preserve">Eng #4</t>
  </si>
  <si>
    <t xml:space="preserve">8 scorers, replay, registry</t>
  </si>
  <si>
    <t xml:space="preserve">E9</t>
  </si>
  <si>
    <t xml:space="preserve">Observability backend</t>
  </si>
  <si>
    <t xml:space="preserve">OTel + ClickHouse + Studio dashboards</t>
  </si>
  <si>
    <t xml:space="preserve">E10</t>
  </si>
  <si>
    <t xml:space="preserve">Studio (UI)</t>
  </si>
  <si>
    <t xml:space="preserve">Eng #5</t>
  </si>
  <si>
    <t xml:space="preserve">Conversations, traces, replay, costs</t>
  </si>
  <si>
    <t xml:space="preserve">E11</t>
  </si>
  <si>
    <t xml:space="preserve">CLI &amp; SDKs</t>
  </si>
  <si>
    <t xml:space="preserve">Eng #1+5</t>
  </si>
  <si>
    <t xml:space="preserve">Python core, Go CLI; TS gen later</t>
  </si>
  <si>
    <t xml:space="preserve">E12</t>
  </si>
  <si>
    <t xml:space="preserve">Cloud control plane</t>
  </si>
  <si>
    <t xml:space="preserve">Eng #2</t>
  </si>
  <si>
    <t xml:space="preserve">Auth, billing, deploy, multi-tenant</t>
  </si>
  <si>
    <t xml:space="preserve">E13</t>
  </si>
  <si>
    <t xml:space="preserve">Self-host (docker-compose + Helm)</t>
  </si>
  <si>
    <t xml:space="preserve">M7</t>
  </si>
  <si>
    <t xml:space="preserve">Compose at MVP, Helm at M7</t>
  </si>
  <si>
    <t xml:space="preserve">E14</t>
  </si>
  <si>
    <t xml:space="preserve">Multi-agent orchestration</t>
  </si>
  <si>
    <t xml:space="preserve">M9</t>
  </si>
  <si>
    <t xml:space="preserve">Supervisor, Pipeline, Parallel, AgentGraph</t>
  </si>
  <si>
    <t xml:space="preserve">E15</t>
  </si>
  <si>
    <t xml:space="preserve">HITL / Operator inbox</t>
  </si>
  <si>
    <t xml:space="preserve">Takeover, shared inbox, CRM connectors</t>
  </si>
  <si>
    <t xml:space="preserve">E16</t>
  </si>
  <si>
    <t xml:space="preserve">Security &amp; compliance (SOC2 Type 1)</t>
  </si>
  <si>
    <t xml:space="preserve">Sec eng</t>
  </si>
  <si>
    <t xml:space="preserve">M12</t>
  </si>
  <si>
    <t xml:space="preserve">Vanta, audit log, RLS, KMS</t>
  </si>
  <si>
    <t xml:space="preserve">E17</t>
  </si>
  <si>
    <t xml:space="preserve">Docs site &amp; DevRel</t>
  </si>
  <si>
    <t xml:space="preserve">Eng #6</t>
  </si>
  <si>
    <t xml:space="preserve">Quickstart, API ref, examples</t>
  </si>
  <si>
    <t xml:space="preserve">E18</t>
  </si>
  <si>
    <t xml:space="preserve">MCP marketplace</t>
  </si>
  <si>
    <t xml:space="preserve">M6</t>
  </si>
  <si>
    <t xml:space="preserve">25 servers at MVP, 200 by M12</t>
  </si>
  <si>
    <t xml:space="preserve">E19</t>
  </si>
  <si>
    <t xml:space="preserve">Pricing &amp; billing</t>
  </si>
  <si>
    <t xml:space="preserve">Stripe + 3-meter + cap rules</t>
  </si>
  <si>
    <t xml:space="preserve">E20</t>
  </si>
  <si>
    <t xml:space="preserve">Enterprise (SSO, audit UI, on-prem parity)</t>
  </si>
  <si>
    <t xml:space="preserve">Eng #2+sec</t>
  </si>
  <si>
    <t xml:space="preserve">SAML, residency, BYOK</t>
  </si>
  <si>
    <t xml:space="preserve">Stories</t>
  </si>
  <si>
    <t xml:space="preserve">Sprint-sized work items. Map back to an Epic via the Epic column.</t>
  </si>
  <si>
    <t xml:space="preserve">Story</t>
  </si>
  <si>
    <t xml:space="preserve">Sprint</t>
  </si>
  <si>
    <t xml:space="preserve">Estimate (pts)</t>
  </si>
  <si>
    <t xml:space="preserve">Priority</t>
  </si>
  <si>
    <t xml:space="preserve">S001</t>
  </si>
  <si>
    <t xml:space="preserve">Repo init, CI skeleton, branch protection, CODEOWNERS</t>
  </si>
  <si>
    <t xml:space="preserve">S0</t>
  </si>
  <si>
    <t xml:space="preserve">P0</t>
  </si>
  <si>
    <t xml:space="preserve">Week 1</t>
  </si>
  <si>
    <t xml:space="preserve">S002</t>
  </si>
  <si>
    <t xml:space="preserve">Cloud accounts (chosen launch cloud — see CLOUD_PORTABILITY.md), Auth0 dev tenant, Stripe test, Sentry, Linear, PagerDuty</t>
  </si>
  <si>
    <t xml:space="preserve">S003</t>
  </si>
  <si>
    <t xml:space="preserve">docker-compose: Postgres, Redis, Qdrant, NATS, MinIO, ClickHouse, OTel</t>
  </si>
  <si>
    <t xml:space="preserve">S004</t>
  </si>
  <si>
    <t xml:space="preserve">Runtime package skeleton; AgentEvent/AgentResponse/Turn types</t>
  </si>
  <si>
    <t xml:space="preserve">S005</t>
  </si>
  <si>
    <t xml:space="preserve">Studio Next.js skeleton + shadcn/ui + Tailwind</t>
  </si>
  <si>
    <t xml:space="preserve">S006</t>
  </si>
  <si>
    <t xml:space="preserve">Postgres migrations: control plane + data plane core tables</t>
  </si>
  <si>
    <t xml:space="preserve">Week 2</t>
  </si>
  <si>
    <t xml:space="preserve">S007</t>
  </si>
  <si>
    <t xml:space="preserve">LLM Gateway client: streaming OpenAI + Anthropic</t>
  </si>
  <si>
    <t xml:space="preserve">S008</t>
  </si>
  <si>
    <t xml:space="preserve">TurnExecutor reasoning loop v0 (no tools yet)</t>
  </si>
  <si>
    <t xml:space="preserve">S009</t>
  </si>
  <si>
    <t xml:space="preserve">OTel collector wired; first span exported to ClickHouse</t>
  </si>
  <si>
    <t xml:space="preserve">S010</t>
  </si>
  <si>
    <t xml:space="preserve">Studio agents-list page (read from cp-api)</t>
  </si>
  <si>
    <t xml:space="preserve">P1</t>
  </si>
  <si>
    <t xml:space="preserve">S011</t>
  </si>
  <si>
    <t xml:space="preserve">MCP client; auto-MCP decorator for Python functions</t>
  </si>
  <si>
    <t xml:space="preserve">Week 3</t>
  </si>
  <si>
    <t xml:space="preserve">S012</t>
  </si>
  <si>
    <t xml:space="preserve">Multi-iteration reasoning loop with parallel tool dispatch</t>
  </si>
  <si>
    <t xml:space="preserve">S013</t>
  </si>
  <si>
    <t xml:space="preserve">Memory loader/persister (user + session)</t>
  </si>
  <si>
    <t xml:space="preserve">S014</t>
  </si>
  <si>
    <t xml:space="preserve">Firecracker via Kata k8s runtime class + prewarmed pool</t>
  </si>
  <si>
    <t xml:space="preserve">S015</t>
  </si>
  <si>
    <t xml:space="preserve">KB engine v0: PDF ingest, Qdrant write, hybrid retrieval</t>
  </si>
  <si>
    <t xml:space="preserve">S016</t>
  </si>
  <si>
    <t xml:space="preserve">Voice pipeline PoC (LiveKit + Deepgram + ElevenLabs)</t>
  </si>
  <si>
    <t xml:space="preserve">S017</t>
  </si>
  <si>
    <t xml:space="preserve">Channel layer abstraction; web channel adapter (REST + SSE)</t>
  </si>
  <si>
    <t xml:space="preserve">Week 4</t>
  </si>
  <si>
    <t xml:space="preserve">S018</t>
  </si>
  <si>
    <t xml:space="preserve">Slack channel adapter (Block Kit, slash command, threaded)</t>
  </si>
  <si>
    <t xml:space="preserve">S019</t>
  </si>
  <si>
    <t xml:space="preserve">cp-api: Auth0 OIDC, workspace mgmt, API keys</t>
  </si>
  <si>
    <t xml:space="preserve">S020</t>
  </si>
  <si>
    <t xml:space="preserve">Deploy controller v0: artifact → image → k8s</t>
  </si>
  <si>
    <t xml:space="preserve">S021</t>
  </si>
  <si>
    <t xml:space="preserve">Eval harness skeleton: 6 scorers + `loop eval run`</t>
  </si>
  <si>
    <t xml:space="preserve">S022</t>
  </si>
  <si>
    <t xml:space="preserve">Studio: trace waterfall + span detail tabs</t>
  </si>
  <si>
    <t xml:space="preserve">S023</t>
  </si>
  <si>
    <t xml:space="preserve">WhatsApp channel adapter (Cloud API direct)</t>
  </si>
  <si>
    <t xml:space="preserve">Week 5</t>
  </si>
  <si>
    <t xml:space="preserve">S024</t>
  </si>
  <si>
    <t xml:space="preserve">Streaming SSE: tool_call_start/end events on the wire</t>
  </si>
  <si>
    <t xml:space="preserve">S025</t>
  </si>
  <si>
    <t xml:space="preserve">Stripe billing wire-up (test); usage rollup nightly job</t>
  </si>
  <si>
    <t xml:space="preserve">S026</t>
  </si>
  <si>
    <t xml:space="preserve">Eval harness: production-replay capture (failed turns)</t>
  </si>
  <si>
    <t xml:space="preserve">S027</t>
  </si>
  <si>
    <t xml:space="preserve">Studio: cost dashboard v0 (workspace MTD + per-agent)</t>
  </si>
  <si>
    <t xml:space="preserve">S028</t>
  </si>
  <si>
    <t xml:space="preserve">Examples repo: support_agent + docs site v0</t>
  </si>
  <si>
    <t xml:space="preserve">S029</t>
  </si>
  <si>
    <t xml:space="preserve">Hard caps + graceful degrade; budget pre-flight at gateway</t>
  </si>
  <si>
    <t xml:space="preserve">Week 6</t>
  </si>
  <si>
    <t xml:space="preserve">S030</t>
  </si>
  <si>
    <t xml:space="preserve">HITL takeover endpoint + operator inbox queue</t>
  </si>
  <si>
    <t xml:space="preserve">S031</t>
  </si>
  <si>
    <t xml:space="preserve">Eval-gated deploy: block prod promotion on regression</t>
  </si>
  <si>
    <t xml:space="preserve">S032</t>
  </si>
  <si>
    <t xml:space="preserve">Studio: operator inbox MVP (queue + takeover + composer)</t>
  </si>
  <si>
    <t xml:space="preserve">S033</t>
  </si>
  <si>
    <t xml:space="preserve">Voice MVP: web-RTC echo agent end-to-end</t>
  </si>
  <si>
    <t xml:space="preserve">S034</t>
  </si>
  <si>
    <t xml:space="preserve">First 3 design partners onboarded; weekly office hour</t>
  </si>
  <si>
    <t xml:space="preserve">CEO</t>
  </si>
  <si>
    <t xml:space="preserve">S035</t>
  </si>
  <si>
    <t xml:space="preserve">Episodic memory (Qdrant collection + auto-summarize)</t>
  </si>
  <si>
    <t xml:space="preserve">S1</t>
  </si>
  <si>
    <t xml:space="preserve">S036</t>
  </si>
  <si>
    <t xml:space="preserve">Helm chart for self-host with feature parity goal</t>
  </si>
  <si>
    <t xml:space="preserve">S037</t>
  </si>
  <si>
    <t xml:space="preserve">Email channel via SES; Telegram channel</t>
  </si>
  <si>
    <t xml:space="preserve">S038</t>
  </si>
  <si>
    <t xml:space="preserve">Multi-agent v0: Supervisor + Pipeline patterns</t>
  </si>
  <si>
    <t xml:space="preserve">S039</t>
  </si>
  <si>
    <t xml:space="preserve">TS SDK auto-gen from Pydantic types</t>
  </si>
  <si>
    <t xml:space="preserve">M8</t>
  </si>
  <si>
    <t xml:space="preserve">S040</t>
  </si>
  <si>
    <t xml:space="preserve">Discord + Teams channels</t>
  </si>
  <si>
    <t xml:space="preserve">P2</t>
  </si>
  <si>
    <t xml:space="preserve">S041</t>
  </si>
  <si>
    <t xml:space="preserve">Replay/time-travel debugging in Studio</t>
  </si>
  <si>
    <t xml:space="preserve">S042</t>
  </si>
  <si>
    <t xml:space="preserve">Multi-agent GA: Parallel + AgentGraph (cyclic)</t>
  </si>
  <si>
    <t xml:space="preserve">S043</t>
  </si>
  <si>
    <t xml:space="preserve">Public eval registry (community suites)</t>
  </si>
  <si>
    <t xml:space="preserve">S044</t>
  </si>
  <si>
    <t xml:space="preserve">Series A fundraise narrative + data room</t>
  </si>
  <si>
    <t xml:space="preserve">—</t>
  </si>
  <si>
    <t xml:space="preserve">S045</t>
  </si>
  <si>
    <t xml:space="preserve">EU region (`eu-west`) deploy on chosen cloud (cloud-agnostic)</t>
  </si>
  <si>
    <t xml:space="preserve">M10</t>
  </si>
  <si>
    <t xml:space="preserve">S046</t>
  </si>
  <si>
    <t xml:space="preserve">SOC2 Type 1 kickoff with Vanta</t>
  </si>
  <si>
    <t xml:space="preserve">S047</t>
  </si>
  <si>
    <t xml:space="preserve">Salesforce + Zendesk first-party MCP servers</t>
  </si>
  <si>
    <t xml:space="preserve">S048</t>
  </si>
  <si>
    <t xml:space="preserve">Voice latency push to ≤700ms p50</t>
  </si>
  <si>
    <t xml:space="preserve">M11</t>
  </si>
  <si>
    <t xml:space="preserve">S049</t>
  </si>
  <si>
    <t xml:space="preserve">Phone number provisioning at the Loop layer</t>
  </si>
  <si>
    <t xml:space="preserve">S050</t>
  </si>
  <si>
    <t xml:space="preserve">Enterprise GA: SSO/SAML, audit log UI, on-prem parity</t>
  </si>
  <si>
    <t xml:space="preserve">Sprint plan</t>
  </si>
  <si>
    <t xml:space="preserve">Sprint 0 = 6-week bootstrap. Subsequent sprints are 2 weeks.</t>
  </si>
  <si>
    <t xml:space="preserve">Window</t>
  </si>
  <si>
    <t xml:space="preserve">Theme</t>
  </si>
  <si>
    <t xml:space="preserve">Goal</t>
  </si>
  <si>
    <t xml:space="preserve">Total points</t>
  </si>
  <si>
    <t xml:space="preserve">Wk 1–6</t>
  </si>
  <si>
    <t xml:space="preserve">Bootstrap</t>
  </si>
  <si>
    <t xml:space="preserve">Local stack + first turn + first deploy + 3 design partners onboarded</t>
  </si>
  <si>
    <t xml:space="preserve">S001-S034</t>
  </si>
  <si>
    <t xml:space="preserve">Wk 7–8</t>
  </si>
  <si>
    <t xml:space="preserve">Episodic memory + Helm</t>
  </si>
  <si>
    <t xml:space="preserve">Episodic memory; helm chart; email + telegram; multi-agent v0</t>
  </si>
  <si>
    <t xml:space="preserve">S035-S038</t>
  </si>
  <si>
    <t xml:space="preserve">S2</t>
  </si>
  <si>
    <t xml:space="preserve">Wk 9–10</t>
  </si>
  <si>
    <t xml:space="preserve">TS SDK + Discord/Teams + replay</t>
  </si>
  <si>
    <t xml:space="preserve">TS SDK GA; Discord + Teams; replay debugging in Studio</t>
  </si>
  <si>
    <t xml:space="preserve">S039-S041</t>
  </si>
  <si>
    <t xml:space="preserve">S3</t>
  </si>
  <si>
    <t xml:space="preserve">Wk 11–12</t>
  </si>
  <si>
    <t xml:space="preserve">Multi-agent GA + eval registry + Series A</t>
  </si>
  <si>
    <t xml:space="preserve">Parallel + AgentGraph; public eval registry; Series A narrative</t>
  </si>
  <si>
    <t xml:space="preserve">S042-S044</t>
  </si>
  <si>
    <t xml:space="preserve">S4</t>
  </si>
  <si>
    <t xml:space="preserve">Wk 13–14</t>
  </si>
  <si>
    <t xml:space="preserve">EU region + SOC2 kickoff</t>
  </si>
  <si>
    <t xml:space="preserve">Deploy `eu-west` (cloud-agnostic); Vanta; Salesforce + Zendesk MCP</t>
  </si>
  <si>
    <t xml:space="preserve">S045-S047</t>
  </si>
  <si>
    <t xml:space="preserve">S5</t>
  </si>
  <si>
    <t xml:space="preserve">Wk 15–16</t>
  </si>
  <si>
    <t xml:space="preserve">Voice latency + phone provisioning</t>
  </si>
  <si>
    <t xml:space="preserve">Voice ≤700ms; phone number provisioning</t>
  </si>
  <si>
    <t xml:space="preserve">S048-S049</t>
  </si>
  <si>
    <t xml:space="preserve">S6</t>
  </si>
  <si>
    <t xml:space="preserve">Wk 17–18</t>
  </si>
  <si>
    <t xml:space="preserve">Enterprise GA</t>
  </si>
  <si>
    <t xml:space="preserve">SSO/SAML, audit UI, on-prem parity, SOC2 Type 1 done</t>
  </si>
  <si>
    <t xml:space="preserve">Hiring plan</t>
  </si>
  <si>
    <t xml:space="preserve">First 8 engineers. Onboarding sequence in HANDBOOK.md §11.</t>
  </si>
  <si>
    <t xml:space="preserve">#</t>
  </si>
  <si>
    <t xml:space="preserve">Role</t>
  </si>
  <si>
    <t xml:space="preserve">Why first</t>
  </si>
  <si>
    <t xml:space="preserve">Start month</t>
  </si>
  <si>
    <t xml:space="preserve">Stage</t>
  </si>
  <si>
    <t xml:space="preserve">Founding engineer — Runtime (Python core)</t>
  </si>
  <si>
    <t xml:space="preserve">Owns the agent loop. Senior, opinionated.</t>
  </si>
  <si>
    <t xml:space="preserve">M0</t>
  </si>
  <si>
    <t xml:space="preserve">Searching</t>
  </si>
  <si>
    <t xml:space="preserve">Bar: shipped a high-throughput Python service before</t>
  </si>
  <si>
    <t xml:space="preserve">Founding engineer — Infra / Platform</t>
  </si>
  <si>
    <t xml:space="preserve">Postgres, Redis, NATS, k8s, Terraform. Builds data plane.</t>
  </si>
  <si>
    <t xml:space="preserve">Bar: production k8s, observability</t>
  </si>
  <si>
    <t xml:space="preserve">Founding engineer — Voice / Real-time</t>
  </si>
  <si>
    <t xml:space="preserve">WebRTC, STT/TTS, latency. The voice moat.</t>
  </si>
  <si>
    <t xml:space="preserve">Pipeline</t>
  </si>
  <si>
    <t xml:space="preserve">Bar: ≤500ms voice in prod</t>
  </si>
  <si>
    <t xml:space="preserve">Founding engineer — Observability + Eval harness</t>
  </si>
  <si>
    <t xml:space="preserve">ClickHouse, OTel, eval scorers. The other moat.</t>
  </si>
  <si>
    <t xml:space="preserve">M1</t>
  </si>
  <si>
    <t xml:space="preserve">Bar: scaled tracing/eval system before</t>
  </si>
  <si>
    <t xml:space="preserve">Founding engineer — Full-stack / Studio</t>
  </si>
  <si>
    <t xml:space="preserve">Next.js, React, tRPC. Debugger UI.</t>
  </si>
  <si>
    <t xml:space="preserve">Bar: shipped a polished web app to GA</t>
  </si>
  <si>
    <t xml:space="preserve">DevRel / Docs engineer</t>
  </si>
  <si>
    <t xml:space="preserve">Examples, blog, docs, MCP server contributions. OSS adoption.</t>
  </si>
  <si>
    <t xml:space="preserve">M3</t>
  </si>
  <si>
    <t xml:space="preserve">Critical for community velocity</t>
  </si>
  <si>
    <t xml:space="preserve">Senior engineer — Channel integrations</t>
  </si>
  <si>
    <t xml:space="preserve">WhatsApp, Slack, Teams, email. Compounding work.</t>
  </si>
  <si>
    <t xml:space="preserve">Bar: 3+ external API integrations</t>
  </si>
  <si>
    <t xml:space="preserve">Security / Compliance engineer</t>
  </si>
  <si>
    <t xml:space="preserve">SOC2, HIPAA-readiness, audit logs, secrets. Unlocks enterprise.</t>
  </si>
  <si>
    <t xml:space="preserve">M5</t>
  </si>
  <si>
    <t xml:space="preserve">Bar: led SOC2 effort end-to-end</t>
  </si>
  <si>
    <t xml:space="preserve">Risks register</t>
  </si>
  <si>
    <t xml:space="preserve">Reviewed weekly. Severity × Likelihood = priority.</t>
  </si>
  <si>
    <t xml:space="preserve">Risk</t>
  </si>
  <si>
    <t xml:space="preserve">Likelihood</t>
  </si>
  <si>
    <t xml:space="preserve">Severity</t>
  </si>
  <si>
    <t xml:space="preserve">Mitigation</t>
  </si>
  <si>
    <t xml:space="preserve">R1</t>
  </si>
  <si>
    <t xml:space="preserve">Frontier-lab SDKs (OpenAI Agents, Claude Agent) eat the category</t>
  </si>
  <si>
    <t xml:space="preserve">Med</t>
  </si>
  <si>
    <t xml:space="preserve">High</t>
  </si>
  <si>
    <t xml:space="preserve">Be the agnostic Switzerland. Run on every provider. Own observability + evals + voice as differentiators.</t>
  </si>
  <si>
    <t xml:space="preserve">Watching</t>
  </si>
  <si>
    <t xml:space="preserve">R2</t>
  </si>
  <si>
    <t xml:space="preserve">MCP standard fragments (OpenAI/Google compete)</t>
  </si>
  <si>
    <t xml:space="preserve">Low</t>
  </si>
  <si>
    <t xml:space="preserve">MCP-first but adapter-flexible; can speak OpenAI tool format too.</t>
  </si>
  <si>
    <t xml:space="preserve">R3</t>
  </si>
  <si>
    <t xml:space="preserve">Voice latency target (≤700ms p50) misses</t>
  </si>
  <si>
    <t xml:space="preserve">Schedule slip is acceptable; ship voice at M7 instead of MVP. Edge POPs + warm pool.</t>
  </si>
  <si>
    <t xml:space="preserve">R4</t>
  </si>
  <si>
    <t xml:space="preserve">Hire #1 (runtime) takes &gt;60 days to fill</t>
  </si>
  <si>
    <t xml:space="preserve">CTO writes first-draft TurnExecutor; new hire inherits. Multiple parallel candidates.</t>
  </si>
  <si>
    <t xml:space="preserve">Active</t>
  </si>
  <si>
    <t xml:space="preserve">R5</t>
  </si>
  <si>
    <t xml:space="preserve">Botpress closes the gap (voice + MCP + true OSS in 12mo)</t>
  </si>
  <si>
    <t xml:space="preserve">Architecture mid-pivot makes this unlikely. We move faster on each axis.</t>
  </si>
  <si>
    <t xml:space="preserve">R6</t>
  </si>
  <si>
    <t xml:space="preserve">Runtime engineering complexity (async + streaming + sandboxes)</t>
  </si>
  <si>
    <t xml:space="preserve">Hire bar #1 must be exceptional. Sprint 0 establishes a working baseline.</t>
  </si>
  <si>
    <t xml:space="preserve">R7</t>
  </si>
  <si>
    <t xml:space="preserve">Compliance burden (SOC2, HIPAA) blocks enterprise revenue</t>
  </si>
  <si>
    <t xml:space="preserve">Vanta day 1. Hire sec eng by M5. SOC2 Type 1 by M12.</t>
  </si>
  <si>
    <t xml:space="preserve">R8</t>
  </si>
  <si>
    <t xml:space="preserve">OSS license arbitrage (hyperscaler offers managed Loop)</t>
  </si>
  <si>
    <t xml:space="preserve">Apache 2.0 accepts the risk; brand + control plane + network effects are the moat.</t>
  </si>
  <si>
    <t xml:space="preserve">R9</t>
  </si>
  <si>
    <t xml:space="preserve">Eval harness over-promises; teams don't adopt</t>
  </si>
  <si>
    <t xml:space="preserve">`loop eval init` scaffolds from production replay automatically. Public registry seeds value.</t>
  </si>
  <si>
    <t xml:space="preserve">R10</t>
  </si>
  <si>
    <t xml:space="preserve">Cost overruns on infra (LLM, ClickHouse, voice POPs)</t>
  </si>
  <si>
    <t xml:space="preserve">Budget caps + monthly review. Negotiate annual commits with providers post-Series A.</t>
  </si>
  <si>
    <t xml:space="preserve">R11</t>
  </si>
  <si>
    <t xml:space="preserve">Channel provider terms change (Meta WhatsApp policies)</t>
  </si>
  <si>
    <t xml:space="preserve">Multi-BSP support; document fallback path; surface channel cost on invoice.</t>
  </si>
  <si>
    <t xml:space="preserve">R12</t>
  </si>
  <si>
    <t xml:space="preserve">Studio scope creep (users want a flow editor)</t>
  </si>
  <si>
    <t xml:space="preserve">Politely decline. Code-first is the wedge. Optional read-only DAG view at M9.</t>
  </si>
  <si>
    <t xml:space="preserve">12-month roadmap</t>
  </si>
  <si>
    <t xml:space="preserve">Mirrors the master spec. Months map to sprints S0–S6+.</t>
  </si>
  <si>
    <t xml:space="preserve">Month</t>
  </si>
  <si>
    <t xml:space="preserve">Milestone</t>
  </si>
  <si>
    <t xml:space="preserve">Key deliverables</t>
  </si>
  <si>
    <t xml:space="preserve">Hire + scope</t>
  </si>
  <si>
    <t xml:space="preserve">Hire engineers 1–4; tech-stack lock-in; runtime + SDK started</t>
  </si>
  <si>
    <t xml:space="preserve">Runtime alpha</t>
  </si>
  <si>
    <t xml:space="preserve">Python SDK skeleton; LLM gateway w/ OpenAI + Anthropic; Slack channel</t>
  </si>
  <si>
    <t xml:space="preserve">M2</t>
  </si>
  <si>
    <t xml:space="preserve">Tools + KB</t>
  </si>
  <si>
    <t xml:space="preserve">Tool/MCP layer; auto-MCP; KB ingestion v0; web widget</t>
  </si>
  <si>
    <t xml:space="preserve">Eval + cloud</t>
  </si>
  <si>
    <t xml:space="preserve">Eval harness v0 (6 scorers); CLI v0; cloud control plane (auth, deploy)</t>
  </si>
  <si>
    <t xml:space="preserve">M4</t>
  </si>
  <si>
    <t xml:space="preserve">Closed alpha</t>
  </si>
  <si>
    <t xml:space="preserve">10 design partners; WhatsApp; Studio v0 (conversations + traces)</t>
  </si>
  <si>
    <t xml:space="preserve">Voice MVP</t>
  </si>
  <si>
    <t xml:space="preserve">Voice channel MVP; memory tiers; cost dashboard</t>
  </si>
  <si>
    <t xml:space="preserve">Public beta</t>
  </si>
  <si>
    <t xml:space="preserve">OSS the runtime (Apache 2.0); Hub v0; free hobby tier; PUBLIC BETA</t>
  </si>
  <si>
    <t xml:space="preserve">Episodic + helm</t>
  </si>
  <si>
    <t xml:space="preserve">Episodic memory; Helm chart; email + Telegram; multi-agent primitives v0</t>
  </si>
  <si>
    <t xml:space="preserve">TS SDK + replay</t>
  </si>
  <si>
    <t xml:space="preserve">TS SDK GA; Discord + Teams; replay/time-travel debugging</t>
  </si>
  <si>
    <t xml:space="preserve">Multi-agent GA</t>
  </si>
  <si>
    <t xml:space="preserve">Multi-agent GA (Graph, Parallel, Blackboard); public eval registry; Series A</t>
  </si>
  <si>
    <t xml:space="preserve">EU + SOC2</t>
  </si>
  <si>
    <t xml:space="preserve">EU region (`eu-west`, cloud-agnostic); SOC2 Type 1 kickoff; Salesforce + Zendesk MCP</t>
  </si>
  <si>
    <t xml:space="preserve">Voice latency</t>
  </si>
  <si>
    <t xml:space="preserve">Voice ≤700ms p50; phone-number provisioning; RCS</t>
  </si>
  <si>
    <t xml:space="preserve">SSO/SAML, audit logs, on-prem parity, SOC2 Type 1 done; ENTERPRISE GA</t>
  </si>
  <si>
    <t xml:space="preserve">Budgets &amp; metrics</t>
  </si>
  <si>
    <t xml:space="preserve">Working numbers — refine with finance once seed closes.</t>
  </si>
  <si>
    <t xml:space="preserve">Performance budgets (hard)</t>
  </si>
  <si>
    <t xml:space="preserve">Metric</t>
  </si>
  <si>
    <t xml:space="preserve">Target</t>
  </si>
  <si>
    <t xml:space="preserve">Voice latency p50 (end-to-end)</t>
  </si>
  <si>
    <t xml:space="preserve">≤ 700 ms</t>
  </si>
  <si>
    <t xml:space="preserve">Chat first-token p50</t>
  </si>
  <si>
    <t xml:space="preserve">≤ 600 ms</t>
  </si>
  <si>
    <t xml:space="preserve">Chat p99</t>
  </si>
  <si>
    <t xml:space="preserve">≤ 2000 ms</t>
  </si>
  <si>
    <t xml:space="preserve">API availability (Pro/Team)</t>
  </si>
  <si>
    <t xml:space="preserve">99.9%</t>
  </si>
  <si>
    <t xml:space="preserve">API availability (Enterprise)</t>
  </si>
  <si>
    <t xml:space="preserve">99.95%</t>
  </si>
  <si>
    <t xml:space="preserve">Trace ingestion lag</t>
  </si>
  <si>
    <t xml:space="preserve">≤ 5 s</t>
  </si>
  <si>
    <t xml:space="preserve">Cold start (warm pool)</t>
  </si>
  <si>
    <t xml:space="preserve">0 (not user-visible)</t>
  </si>
  <si>
    <t xml:space="preserve">Deploy time (push → live)</t>
  </si>
  <si>
    <t xml:space="preserve">≤ 60 s</t>
  </si>
  <si>
    <t xml:space="preserve">Eval suite of 100 cases</t>
  </si>
  <si>
    <t xml:space="preserve">≤ 90 s</t>
  </si>
  <si>
    <t xml:space="preserve">Concurrent conversations / pod</t>
  </si>
  <si>
    <t xml:space="preserve">100</t>
  </si>
  <si>
    <t xml:space="preserve">Unit-economics targets (steady state)</t>
  </si>
  <si>
    <t xml:space="preserve">Gross margin</t>
  </si>
  <si>
    <t xml:space="preserve">75%</t>
  </si>
  <si>
    <t xml:space="preserve">LLM ~95% on 5%, compute ~70%, storage ~85%</t>
  </si>
  <si>
    <t xml:space="preserve">LTV : CAC</t>
  </si>
  <si>
    <t xml:space="preserve">≥ 3 : 1 by month 18</t>
  </si>
  <si>
    <t xml:space="preserve">Bottom-up PLG with sales-led at the top</t>
  </si>
  <si>
    <t xml:space="preserve">ARR per FTE (by M24)</t>
  </si>
  <si>
    <t xml:space="preserve">$300K</t>
  </si>
  <si>
    <t xml:space="preserve">Industry P75 for OSS/PLG infra</t>
  </si>
  <si>
    <t xml:space="preserve">LLM token markup</t>
  </si>
  <si>
    <t xml:space="preserve">5%, fully disclosed</t>
  </si>
  <si>
    <t xml:space="preserve">Trust commitment</t>
  </si>
  <si>
    <t xml:space="preserve">Hard-cap behavior</t>
  </si>
  <si>
    <t xml:space="preserve">Graceful degrade, never drop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</si>
</sst>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1E3A"/>
      <name val="Inter"/>
      <family val="0"/>
      <charset val="1"/>
    </font>
    <font>
      <i val="true"/>
      <sz val="11"/>
      <color rgb="FF64748B"/>
      <name val="Inter"/>
      <family val="0"/>
      <charset val="1"/>
    </font>
    <font>
      <b val="true"/>
      <sz val="12"/>
      <color rgb="FF0F1E3A"/>
      <name val="Inter"/>
      <family val="0"/>
      <charset val="1"/>
    </font>
    <font>
      <b val="true"/>
      <sz val="10"/>
      <name val="Inter"/>
      <family val="0"/>
      <charset val="1"/>
    </font>
    <font>
      <sz val="10"/>
      <color rgb="FF0E7C86"/>
      <name val="Inter"/>
      <family val="0"/>
      <charset val="1"/>
    </font>
    <font>
      <sz val="10"/>
      <name val="Inter"/>
      <family val="0"/>
      <charset val="1"/>
    </font>
    <font>
      <b val="true"/>
      <sz val="11"/>
      <color rgb="FFFFFFFF"/>
      <name val="Inter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FCE7"/>
        <bgColor rgb="FFCCFFCC"/>
      </patternFill>
    </fill>
    <fill>
      <patternFill patternType="solid">
        <fgColor rgb="FFDBEAFE"/>
        <bgColor rgb="FFEEF3F7"/>
      </patternFill>
    </fill>
    <fill>
      <patternFill patternType="solid">
        <fgColor rgb="FFFEE2E2"/>
        <bgColor rgb="FFEEF3F7"/>
      </patternFill>
    </fill>
    <fill>
      <patternFill patternType="solid">
        <fgColor rgb="FFFED7AA"/>
        <bgColor rgb="FFFECACA"/>
      </patternFill>
    </fill>
    <fill>
      <patternFill patternType="solid">
        <fgColor rgb="FFFFFFFF"/>
        <bgColor rgb="FFEEF3F7"/>
      </patternFill>
    </fill>
    <fill>
      <patternFill patternType="solid">
        <fgColor rgb="FF0F1E3A"/>
        <bgColor rgb="FF333333"/>
      </patternFill>
    </fill>
    <fill>
      <patternFill patternType="solid">
        <fgColor rgb="FFEEF3F7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E2E2"/>
        </patternFill>
      </fill>
    </dxf>
    <dxf>
      <fill>
        <patternFill>
          <bgColor rgb="FFFED7AA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FECACA"/>
      <rgbColor rgb="FF808080"/>
      <rgbColor rgb="FF9999FF"/>
      <rgbColor rgb="FF993366"/>
      <rgbColor rgb="FFEEF3F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EE2E2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1E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3" t="n">
        <f aca="true">TODAY()</f>
        <v>46141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n">
        <v>10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6" t="s">
        <v>10</v>
      </c>
    </row>
    <row r="11" customFormat="false" ht="15" hidden="false" customHeight="false" outlineLevel="0" collapsed="false">
      <c r="A11" s="5" t="s">
        <v>11</v>
      </c>
      <c r="B11" s="6" t="s">
        <v>12</v>
      </c>
    </row>
    <row r="12" customFormat="false" ht="15" hidden="false" customHeight="false" outlineLevel="0" collapsed="false">
      <c r="A12" s="5" t="s">
        <v>13</v>
      </c>
      <c r="B12" s="6" t="s">
        <v>14</v>
      </c>
    </row>
    <row r="13" customFormat="false" ht="15" hidden="false" customHeight="false" outlineLevel="0" collapsed="false">
      <c r="A13" s="5" t="s">
        <v>15</v>
      </c>
      <c r="B13" s="6" t="s">
        <v>16</v>
      </c>
    </row>
    <row r="14" customFormat="false" ht="15" hidden="false" customHeight="false" outlineLevel="0" collapsed="false">
      <c r="A14" s="5" t="s">
        <v>17</v>
      </c>
      <c r="B14" s="6" t="s">
        <v>18</v>
      </c>
    </row>
    <row r="15" customFormat="false" ht="15" hidden="false" customHeight="false" outlineLevel="0" collapsed="false">
      <c r="A15" s="5" t="s">
        <v>19</v>
      </c>
      <c r="B15" s="6" t="s">
        <v>20</v>
      </c>
    </row>
    <row r="16" customFormat="false" ht="15" hidden="false" customHeight="false" outlineLevel="0" collapsed="false">
      <c r="A16" s="5" t="s">
        <v>21</v>
      </c>
      <c r="B16" s="6" t="s">
        <v>22</v>
      </c>
    </row>
    <row r="17" customFormat="false" ht="15" hidden="false" customHeight="false" outlineLevel="0" collapsed="false">
      <c r="A17" s="5" t="s">
        <v>23</v>
      </c>
      <c r="B17" s="6" t="s">
        <v>24</v>
      </c>
    </row>
    <row r="18" customFormat="false" ht="15" hidden="false" customHeight="false" outlineLevel="0" collapsed="false">
      <c r="A18" s="5" t="s">
        <v>25</v>
      </c>
      <c r="B18" s="6" t="s">
        <v>26</v>
      </c>
    </row>
    <row r="19" customFormat="false" ht="15" hidden="false" customHeight="false" outlineLevel="0" collapsed="false">
      <c r="A19" s="5" t="s">
        <v>27</v>
      </c>
      <c r="B19" s="6" t="s">
        <v>28</v>
      </c>
    </row>
    <row r="22" customFormat="false" ht="15" hidden="false" customHeight="false" outlineLevel="0" collapsed="false">
      <c r="A22" s="4" t="s">
        <v>29</v>
      </c>
    </row>
    <row r="23" customFormat="false" ht="15" hidden="false" customHeight="false" outlineLevel="0" collapsed="false">
      <c r="A23" s="7" t="s">
        <v>30</v>
      </c>
    </row>
    <row r="24" customFormat="false" ht="15" hidden="false" customHeight="false" outlineLevel="0" collapsed="false">
      <c r="A24" s="8" t="s">
        <v>31</v>
      </c>
    </row>
    <row r="25" customFormat="false" ht="15" hidden="false" customHeight="false" outlineLevel="0" collapsed="false">
      <c r="A25" s="9" t="s">
        <v>32</v>
      </c>
    </row>
    <row r="26" customFormat="false" ht="15" hidden="false" customHeight="false" outlineLevel="0" collapsed="false">
      <c r="A26" s="10" t="s">
        <v>33</v>
      </c>
    </row>
    <row r="27" customFormat="false" ht="15" hidden="false" customHeight="false" outlineLevel="0" collapsed="false">
      <c r="A27" s="11" t="s">
        <v>34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37</v>
      </c>
      <c r="B4" s="12" t="s">
        <v>38</v>
      </c>
      <c r="C4" s="12" t="s">
        <v>2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customFormat="false" ht="23.85" hidden="false" customHeight="false" outlineLevel="0" collapsed="false">
      <c r="A5" s="13" t="s">
        <v>45</v>
      </c>
      <c r="B5" s="13" t="s">
        <v>46</v>
      </c>
      <c r="C5" s="13" t="s">
        <v>47</v>
      </c>
      <c r="D5" s="13" t="s">
        <v>48</v>
      </c>
      <c r="E5" s="13" t="s">
        <v>31</v>
      </c>
      <c r="F5" s="13" t="n">
        <f aca="false">COUNTIF(Stories!E:E,"E1")</f>
        <v>4</v>
      </c>
      <c r="G5" s="13" t="n">
        <f aca="false">COUNTIFS(Stories!E:E,"E1",Stories!H:H,"Done")</f>
        <v>0</v>
      </c>
      <c r="H5" s="14" t="n">
        <f aca="false">IF(F5=0,0,G5/F5)</f>
        <v>0</v>
      </c>
      <c r="I5" s="13" t="s">
        <v>49</v>
      </c>
    </row>
    <row r="6" customFormat="false" ht="23.85" hidden="false" customHeight="false" outlineLevel="0" collapsed="false">
      <c r="A6" s="15" t="s">
        <v>50</v>
      </c>
      <c r="B6" s="15" t="s">
        <v>51</v>
      </c>
      <c r="C6" s="15" t="s">
        <v>47</v>
      </c>
      <c r="D6" s="15" t="s">
        <v>48</v>
      </c>
      <c r="E6" s="15" t="s">
        <v>34</v>
      </c>
      <c r="F6" s="15" t="n">
        <f aca="false">COUNTIF(Stories!E:E,"E2")</f>
        <v>2</v>
      </c>
      <c r="G6" s="15" t="n">
        <f aca="false">COUNTIFS(Stories!E:E,"E2",Stories!H:H,"Done")</f>
        <v>0</v>
      </c>
      <c r="H6" s="16" t="n">
        <f aca="false">IF(F6=0,0,G6/F6)</f>
        <v>0</v>
      </c>
      <c r="I6" s="15" t="s">
        <v>52</v>
      </c>
    </row>
    <row r="7" customFormat="false" ht="23.85" hidden="false" customHeight="false" outlineLevel="0" collapsed="false">
      <c r="A7" s="13" t="s">
        <v>53</v>
      </c>
      <c r="B7" s="13" t="s">
        <v>54</v>
      </c>
      <c r="C7" s="13" t="s">
        <v>47</v>
      </c>
      <c r="D7" s="13" t="s">
        <v>48</v>
      </c>
      <c r="E7" s="13" t="s">
        <v>34</v>
      </c>
      <c r="F7" s="13" t="n">
        <f aca="false">COUNTIF(Stories!E:E,"E3")</f>
        <v>2</v>
      </c>
      <c r="G7" s="13" t="n">
        <f aca="false">COUNTIFS(Stories!E:E,"E3",Stories!H:H,"Done")</f>
        <v>0</v>
      </c>
      <c r="H7" s="14" t="n">
        <f aca="false">IF(F7=0,0,G7/F7)</f>
        <v>0</v>
      </c>
      <c r="I7" s="13" t="s">
        <v>55</v>
      </c>
    </row>
    <row r="8" customFormat="false" ht="15" hidden="false" customHeight="false" outlineLevel="0" collapsed="false">
      <c r="A8" s="15" t="s">
        <v>56</v>
      </c>
      <c r="B8" s="15" t="s">
        <v>57</v>
      </c>
      <c r="C8" s="15" t="s">
        <v>47</v>
      </c>
      <c r="D8" s="15" t="s">
        <v>48</v>
      </c>
      <c r="E8" s="15" t="s">
        <v>34</v>
      </c>
      <c r="F8" s="15" t="n">
        <f aca="false">COUNTIF(Stories!E:E,"E4")</f>
        <v>2</v>
      </c>
      <c r="G8" s="15" t="n">
        <f aca="false">COUNTIFS(Stories!E:E,"E4",Stories!H:H,"Done")</f>
        <v>0</v>
      </c>
      <c r="H8" s="16" t="n">
        <f aca="false">IF(F8=0,0,G8/F8)</f>
        <v>0</v>
      </c>
      <c r="I8" s="15" t="s">
        <v>58</v>
      </c>
    </row>
    <row r="9" customFormat="false" ht="23.85" hidden="false" customHeight="false" outlineLevel="0" collapsed="false">
      <c r="A9" s="13" t="s">
        <v>59</v>
      </c>
      <c r="B9" s="13" t="s">
        <v>60</v>
      </c>
      <c r="C9" s="13" t="s">
        <v>47</v>
      </c>
      <c r="D9" s="13" t="s">
        <v>48</v>
      </c>
      <c r="E9" s="13" t="s">
        <v>34</v>
      </c>
      <c r="F9" s="13" t="n">
        <f aca="false">COUNTIF(Stories!E:E,"E5")</f>
        <v>1</v>
      </c>
      <c r="G9" s="13" t="n">
        <f aca="false">COUNTIFS(Stories!E:E,"E5",Stories!H:H,"Done")</f>
        <v>0</v>
      </c>
      <c r="H9" s="14" t="n">
        <f aca="false">IF(F9=0,0,G9/F9)</f>
        <v>0</v>
      </c>
      <c r="I9" s="13" t="s">
        <v>61</v>
      </c>
    </row>
    <row r="10" customFormat="false" ht="15" hidden="false" customHeight="false" outlineLevel="0" collapsed="false">
      <c r="A10" s="15" t="s">
        <v>62</v>
      </c>
      <c r="B10" s="15" t="s">
        <v>63</v>
      </c>
      <c r="C10" s="15" t="s">
        <v>64</v>
      </c>
      <c r="D10" s="15" t="s">
        <v>65</v>
      </c>
      <c r="E10" s="15" t="s">
        <v>34</v>
      </c>
      <c r="F10" s="15" t="n">
        <f aca="false">COUNTIF(Stories!E:E,"E6")</f>
        <v>5</v>
      </c>
      <c r="G10" s="15" t="n">
        <f aca="false">COUNTIFS(Stories!E:E,"E6",Stories!H:H,"Done")</f>
        <v>0</v>
      </c>
      <c r="H10" s="16" t="n">
        <f aca="false">IF(F10=0,0,G10/F10)</f>
        <v>0</v>
      </c>
      <c r="I10" s="15" t="s">
        <v>66</v>
      </c>
    </row>
    <row r="11" customFormat="false" ht="23.85" hidden="false" customHeight="false" outlineLevel="0" collapsed="false">
      <c r="A11" s="13" t="s">
        <v>67</v>
      </c>
      <c r="B11" s="13" t="s">
        <v>68</v>
      </c>
      <c r="C11" s="13" t="s">
        <v>69</v>
      </c>
      <c r="D11" s="13" t="s">
        <v>48</v>
      </c>
      <c r="E11" s="13" t="s">
        <v>34</v>
      </c>
      <c r="F11" s="13" t="n">
        <f aca="false">COUNTIF(Stories!E:E,"E7")</f>
        <v>4</v>
      </c>
      <c r="G11" s="13" t="n">
        <f aca="false">COUNTIFS(Stories!E:E,"E7",Stories!H:H,"Done")</f>
        <v>0</v>
      </c>
      <c r="H11" s="14" t="n">
        <f aca="false">IF(F11=0,0,G11/F11)</f>
        <v>0</v>
      </c>
      <c r="I11" s="13" t="s">
        <v>70</v>
      </c>
    </row>
    <row r="12" customFormat="false" ht="15" hidden="false" customHeight="false" outlineLevel="0" collapsed="false">
      <c r="A12" s="15" t="s">
        <v>71</v>
      </c>
      <c r="B12" s="15" t="s">
        <v>72</v>
      </c>
      <c r="C12" s="15" t="s">
        <v>73</v>
      </c>
      <c r="D12" s="15" t="s">
        <v>48</v>
      </c>
      <c r="E12" s="15" t="s">
        <v>34</v>
      </c>
      <c r="F12" s="15" t="n">
        <f aca="false">COUNTIF(Stories!E:E,"E8")</f>
        <v>4</v>
      </c>
      <c r="G12" s="15" t="n">
        <f aca="false">COUNTIFS(Stories!E:E,"E8",Stories!H:H,"Done")</f>
        <v>0</v>
      </c>
      <c r="H12" s="16" t="n">
        <f aca="false">IF(F12=0,0,G12/F12)</f>
        <v>0</v>
      </c>
      <c r="I12" s="15" t="s">
        <v>74</v>
      </c>
    </row>
    <row r="13" customFormat="false" ht="23.85" hidden="false" customHeight="false" outlineLevel="0" collapsed="false">
      <c r="A13" s="13" t="s">
        <v>75</v>
      </c>
      <c r="B13" s="13" t="s">
        <v>76</v>
      </c>
      <c r="C13" s="13" t="s">
        <v>73</v>
      </c>
      <c r="D13" s="13" t="s">
        <v>48</v>
      </c>
      <c r="E13" s="13" t="s">
        <v>34</v>
      </c>
      <c r="F13" s="13" t="n">
        <f aca="false">COUNTIF(Stories!E:E,"E9")</f>
        <v>1</v>
      </c>
      <c r="G13" s="13" t="n">
        <f aca="false">COUNTIFS(Stories!E:E,"E9",Stories!H:H,"Done")</f>
        <v>0</v>
      </c>
      <c r="H13" s="14" t="n">
        <f aca="false">IF(F13=0,0,G13/F13)</f>
        <v>0</v>
      </c>
      <c r="I13" s="13" t="s">
        <v>77</v>
      </c>
    </row>
    <row r="14" customFormat="false" ht="15" hidden="false" customHeight="false" outlineLevel="0" collapsed="false">
      <c r="A14" s="15" t="s">
        <v>78</v>
      </c>
      <c r="B14" s="15" t="s">
        <v>79</v>
      </c>
      <c r="C14" s="15" t="s">
        <v>80</v>
      </c>
      <c r="D14" s="15" t="s">
        <v>48</v>
      </c>
      <c r="E14" s="15" t="s">
        <v>34</v>
      </c>
      <c r="F14" s="15" t="n">
        <f aca="false">COUNTIF(Stories!E:E,"E10")</f>
        <v>5</v>
      </c>
      <c r="G14" s="15" t="n">
        <f aca="false">COUNTIFS(Stories!E:E,"E10",Stories!H:H,"Done")</f>
        <v>0</v>
      </c>
      <c r="H14" s="16" t="n">
        <f aca="false">IF(F14=0,0,G14/F14)</f>
        <v>0</v>
      </c>
      <c r="I14" s="15" t="s">
        <v>81</v>
      </c>
    </row>
    <row r="15" customFormat="false" ht="15" hidden="false" customHeight="false" outlineLevel="0" collapsed="false">
      <c r="A15" s="13" t="s">
        <v>82</v>
      </c>
      <c r="B15" s="13" t="s">
        <v>83</v>
      </c>
      <c r="C15" s="13" t="s">
        <v>84</v>
      </c>
      <c r="D15" s="13" t="s">
        <v>48</v>
      </c>
      <c r="E15" s="13" t="s">
        <v>34</v>
      </c>
      <c r="F15" s="13" t="n">
        <f aca="false">COUNTIF(Stories!E:E,"E11")</f>
        <v>1</v>
      </c>
      <c r="G15" s="13" t="n">
        <f aca="false">COUNTIFS(Stories!E:E,"E11",Stories!H:H,"Done")</f>
        <v>0</v>
      </c>
      <c r="H15" s="14" t="n">
        <f aca="false">IF(F15=0,0,G15/F15)</f>
        <v>0</v>
      </c>
      <c r="I15" s="13" t="s">
        <v>85</v>
      </c>
    </row>
    <row r="16" customFormat="false" ht="15" hidden="false" customHeight="false" outlineLevel="0" collapsed="false">
      <c r="A16" s="15" t="s">
        <v>86</v>
      </c>
      <c r="B16" s="15" t="s">
        <v>87</v>
      </c>
      <c r="C16" s="15" t="s">
        <v>88</v>
      </c>
      <c r="D16" s="15" t="s">
        <v>48</v>
      </c>
      <c r="E16" s="15" t="s">
        <v>34</v>
      </c>
      <c r="F16" s="15" t="n">
        <f aca="false">COUNTIF(Stories!E:E,"E12")</f>
        <v>6</v>
      </c>
      <c r="G16" s="15" t="n">
        <f aca="false">COUNTIFS(Stories!E:E,"E12",Stories!H:H,"Done")</f>
        <v>0</v>
      </c>
      <c r="H16" s="16" t="n">
        <f aca="false">IF(F16=0,0,G16/F16)</f>
        <v>0</v>
      </c>
      <c r="I16" s="15" t="s">
        <v>89</v>
      </c>
    </row>
    <row r="17" customFormat="false" ht="15" hidden="false" customHeight="false" outlineLevel="0" collapsed="false">
      <c r="A17" s="13" t="s">
        <v>90</v>
      </c>
      <c r="B17" s="13" t="s">
        <v>91</v>
      </c>
      <c r="C17" s="13" t="s">
        <v>88</v>
      </c>
      <c r="D17" s="13" t="s">
        <v>92</v>
      </c>
      <c r="E17" s="13" t="s">
        <v>34</v>
      </c>
      <c r="F17" s="13" t="n">
        <f aca="false">COUNTIF(Stories!E:E,"E13")</f>
        <v>2</v>
      </c>
      <c r="G17" s="13" t="n">
        <f aca="false">COUNTIFS(Stories!E:E,"E13",Stories!H:H,"Done")</f>
        <v>0</v>
      </c>
      <c r="H17" s="14" t="n">
        <f aca="false">IF(F17=0,0,G17/F17)</f>
        <v>0</v>
      </c>
      <c r="I17" s="13" t="s">
        <v>93</v>
      </c>
    </row>
    <row r="18" customFormat="false" ht="23.85" hidden="false" customHeight="false" outlineLevel="0" collapsed="false">
      <c r="A18" s="15" t="s">
        <v>94</v>
      </c>
      <c r="B18" s="15" t="s">
        <v>95</v>
      </c>
      <c r="C18" s="15" t="s">
        <v>47</v>
      </c>
      <c r="D18" s="15" t="s">
        <v>96</v>
      </c>
      <c r="E18" s="15" t="s">
        <v>34</v>
      </c>
      <c r="F18" s="15" t="n">
        <f aca="false">COUNTIF(Stories!E:E,"E14")</f>
        <v>2</v>
      </c>
      <c r="G18" s="15" t="n">
        <f aca="false">COUNTIFS(Stories!E:E,"E14",Stories!H:H,"Done")</f>
        <v>0</v>
      </c>
      <c r="H18" s="16" t="n">
        <f aca="false">IF(F18=0,0,G18/F18)</f>
        <v>0</v>
      </c>
      <c r="I18" s="15" t="s">
        <v>97</v>
      </c>
    </row>
    <row r="19" customFormat="false" ht="23.85" hidden="false" customHeight="false" outlineLevel="0" collapsed="false">
      <c r="A19" s="13" t="s">
        <v>98</v>
      </c>
      <c r="B19" s="13" t="s">
        <v>99</v>
      </c>
      <c r="C19" s="13" t="s">
        <v>80</v>
      </c>
      <c r="D19" s="13" t="s">
        <v>92</v>
      </c>
      <c r="E19" s="13" t="s">
        <v>34</v>
      </c>
      <c r="F19" s="13" t="n">
        <f aca="false">COUNTIF(Stories!E:E,"E15")</f>
        <v>2</v>
      </c>
      <c r="G19" s="13" t="n">
        <f aca="false">COUNTIFS(Stories!E:E,"E15",Stories!H:H,"Done")</f>
        <v>0</v>
      </c>
      <c r="H19" s="14" t="n">
        <f aca="false">IF(F19=0,0,G19/F19)</f>
        <v>0</v>
      </c>
      <c r="I19" s="13" t="s">
        <v>100</v>
      </c>
    </row>
    <row r="20" customFormat="false" ht="15" hidden="false" customHeight="false" outlineLevel="0" collapsed="false">
      <c r="A20" s="15" t="s">
        <v>101</v>
      </c>
      <c r="B20" s="15" t="s">
        <v>102</v>
      </c>
      <c r="C20" s="15" t="s">
        <v>103</v>
      </c>
      <c r="D20" s="15" t="s">
        <v>104</v>
      </c>
      <c r="E20" s="15" t="s">
        <v>34</v>
      </c>
      <c r="F20" s="15" t="n">
        <f aca="false">COUNTIF(Stories!E:E,"E16")</f>
        <v>1</v>
      </c>
      <c r="G20" s="15" t="n">
        <f aca="false">COUNTIFS(Stories!E:E,"E16",Stories!H:H,"Done")</f>
        <v>0</v>
      </c>
      <c r="H20" s="16" t="n">
        <f aca="false">IF(F20=0,0,G20/F20)</f>
        <v>0</v>
      </c>
      <c r="I20" s="15" t="s">
        <v>105</v>
      </c>
    </row>
    <row r="21" customFormat="false" ht="15" hidden="false" customHeight="false" outlineLevel="0" collapsed="false">
      <c r="A21" s="13" t="s">
        <v>106</v>
      </c>
      <c r="B21" s="13" t="s">
        <v>107</v>
      </c>
      <c r="C21" s="13" t="s">
        <v>108</v>
      </c>
      <c r="D21" s="13" t="s">
        <v>65</v>
      </c>
      <c r="E21" s="13" t="s">
        <v>34</v>
      </c>
      <c r="F21" s="13" t="n">
        <f aca="false">COUNTIF(Stories!E:E,"E17")</f>
        <v>2</v>
      </c>
      <c r="G21" s="13" t="n">
        <f aca="false">COUNTIFS(Stories!E:E,"E17",Stories!H:H,"Done")</f>
        <v>0</v>
      </c>
      <c r="H21" s="14" t="n">
        <f aca="false">IF(F21=0,0,G21/F21)</f>
        <v>0</v>
      </c>
      <c r="I21" s="13" t="s">
        <v>109</v>
      </c>
    </row>
    <row r="22" customFormat="false" ht="15" hidden="false" customHeight="false" outlineLevel="0" collapsed="false">
      <c r="A22" s="15" t="s">
        <v>110</v>
      </c>
      <c r="B22" s="15" t="s">
        <v>111</v>
      </c>
      <c r="C22" s="15" t="s">
        <v>108</v>
      </c>
      <c r="D22" s="15" t="s">
        <v>112</v>
      </c>
      <c r="E22" s="15" t="s">
        <v>34</v>
      </c>
      <c r="F22" s="15" t="n">
        <f aca="false">COUNTIF(Stories!E:E,"E18")</f>
        <v>1</v>
      </c>
      <c r="G22" s="15" t="n">
        <f aca="false">COUNTIFS(Stories!E:E,"E18",Stories!H:H,"Done")</f>
        <v>0</v>
      </c>
      <c r="H22" s="16" t="n">
        <f aca="false">IF(F22=0,0,G22/F22)</f>
        <v>0</v>
      </c>
      <c r="I22" s="15" t="s">
        <v>113</v>
      </c>
    </row>
    <row r="23" customFormat="false" ht="15" hidden="false" customHeight="false" outlineLevel="0" collapsed="false">
      <c r="A23" s="13" t="s">
        <v>114</v>
      </c>
      <c r="B23" s="13" t="s">
        <v>115</v>
      </c>
      <c r="C23" s="13" t="s">
        <v>88</v>
      </c>
      <c r="D23" s="13" t="s">
        <v>112</v>
      </c>
      <c r="E23" s="13" t="s">
        <v>34</v>
      </c>
      <c r="F23" s="13" t="n">
        <f aca="false">COUNTIF(Stories!E:E,"E19")</f>
        <v>1</v>
      </c>
      <c r="G23" s="13" t="n">
        <f aca="false">COUNTIFS(Stories!E:E,"E19",Stories!H:H,"Done")</f>
        <v>0</v>
      </c>
      <c r="H23" s="14" t="n">
        <f aca="false">IF(F23=0,0,G23/F23)</f>
        <v>0</v>
      </c>
      <c r="I23" s="13" t="s">
        <v>116</v>
      </c>
    </row>
    <row r="24" customFormat="false" ht="23.85" hidden="false" customHeight="false" outlineLevel="0" collapsed="false">
      <c r="A24" s="15" t="s">
        <v>117</v>
      </c>
      <c r="B24" s="15" t="s">
        <v>118</v>
      </c>
      <c r="C24" s="15" t="s">
        <v>119</v>
      </c>
      <c r="D24" s="15" t="s">
        <v>104</v>
      </c>
      <c r="E24" s="15" t="s">
        <v>34</v>
      </c>
      <c r="F24" s="15" t="n">
        <f aca="false">COUNTIF(Stories!E:E,"E20")</f>
        <v>1</v>
      </c>
      <c r="G24" s="15" t="n">
        <f aca="false">COUNTIFS(Stories!E:E,"E20",Stories!H:H,"Done")</f>
        <v>0</v>
      </c>
      <c r="H24" s="16" t="n">
        <f aca="false">IF(F24=0,0,G24/F24)</f>
        <v>0</v>
      </c>
      <c r="I24" s="15" t="s">
        <v>120</v>
      </c>
    </row>
  </sheetData>
  <mergeCells count="2">
    <mergeCell ref="A1:H1"/>
    <mergeCell ref="A2:H2"/>
  </mergeCells>
  <conditionalFormatting sqref="E5:E2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37</v>
      </c>
      <c r="B4" s="12" t="s">
        <v>123</v>
      </c>
      <c r="C4" s="12" t="s">
        <v>2</v>
      </c>
      <c r="D4" s="12" t="s">
        <v>124</v>
      </c>
      <c r="E4" s="12" t="s">
        <v>38</v>
      </c>
      <c r="F4" s="12" t="s">
        <v>125</v>
      </c>
      <c r="G4" s="12" t="s">
        <v>126</v>
      </c>
      <c r="H4" s="12" t="s">
        <v>40</v>
      </c>
      <c r="I4" s="12" t="s">
        <v>44</v>
      </c>
    </row>
    <row r="5" customFormat="false" ht="23.85" hidden="false" customHeight="false" outlineLevel="0" collapsed="false">
      <c r="A5" s="13" t="s">
        <v>127</v>
      </c>
      <c r="B5" s="13" t="s">
        <v>128</v>
      </c>
      <c r="C5" s="13" t="s">
        <v>3</v>
      </c>
      <c r="D5" s="13" t="s">
        <v>129</v>
      </c>
      <c r="E5" s="13" t="s">
        <v>86</v>
      </c>
      <c r="F5" s="13" t="n">
        <v>3</v>
      </c>
      <c r="G5" s="13" t="s">
        <v>130</v>
      </c>
      <c r="H5" s="13" t="s">
        <v>34</v>
      </c>
      <c r="I5" s="13" t="s">
        <v>131</v>
      </c>
    </row>
    <row r="6" customFormat="false" ht="35.05" hidden="false" customHeight="false" outlineLevel="0" collapsed="false">
      <c r="A6" s="15" t="s">
        <v>132</v>
      </c>
      <c r="B6" s="15" t="s">
        <v>133</v>
      </c>
      <c r="C6" s="15" t="s">
        <v>3</v>
      </c>
      <c r="D6" s="15" t="s">
        <v>129</v>
      </c>
      <c r="E6" s="15" t="s">
        <v>86</v>
      </c>
      <c r="F6" s="15" t="n">
        <v>5</v>
      </c>
      <c r="G6" s="15" t="s">
        <v>130</v>
      </c>
      <c r="H6" s="15" t="s">
        <v>34</v>
      </c>
      <c r="I6" s="15" t="s">
        <v>131</v>
      </c>
    </row>
    <row r="7" customFormat="false" ht="23.85" hidden="false" customHeight="false" outlineLevel="0" collapsed="false">
      <c r="A7" s="13" t="s">
        <v>134</v>
      </c>
      <c r="B7" s="13" t="s">
        <v>135</v>
      </c>
      <c r="C7" s="13" t="s">
        <v>88</v>
      </c>
      <c r="D7" s="13" t="s">
        <v>129</v>
      </c>
      <c r="E7" s="13" t="s">
        <v>90</v>
      </c>
      <c r="F7" s="13" t="n">
        <v>5</v>
      </c>
      <c r="G7" s="13" t="s">
        <v>130</v>
      </c>
      <c r="H7" s="13" t="s">
        <v>34</v>
      </c>
      <c r="I7" s="13" t="s">
        <v>131</v>
      </c>
    </row>
    <row r="8" customFormat="false" ht="23.85" hidden="false" customHeight="false" outlineLevel="0" collapsed="false">
      <c r="A8" s="15" t="s">
        <v>136</v>
      </c>
      <c r="B8" s="15" t="s">
        <v>137</v>
      </c>
      <c r="C8" s="15" t="s">
        <v>47</v>
      </c>
      <c r="D8" s="15" t="s">
        <v>129</v>
      </c>
      <c r="E8" s="15" t="s">
        <v>45</v>
      </c>
      <c r="F8" s="15" t="n">
        <v>5</v>
      </c>
      <c r="G8" s="15" t="s">
        <v>130</v>
      </c>
      <c r="H8" s="15" t="s">
        <v>34</v>
      </c>
      <c r="I8" s="15" t="s">
        <v>131</v>
      </c>
    </row>
    <row r="9" customFormat="false" ht="15" hidden="false" customHeight="false" outlineLevel="0" collapsed="false">
      <c r="A9" s="13" t="s">
        <v>138</v>
      </c>
      <c r="B9" s="13" t="s">
        <v>139</v>
      </c>
      <c r="C9" s="13" t="s">
        <v>80</v>
      </c>
      <c r="D9" s="13" t="s">
        <v>129</v>
      </c>
      <c r="E9" s="13" t="s">
        <v>78</v>
      </c>
      <c r="F9" s="13" t="n">
        <v>3</v>
      </c>
      <c r="G9" s="13" t="s">
        <v>130</v>
      </c>
      <c r="H9" s="13" t="s">
        <v>34</v>
      </c>
      <c r="I9" s="13" t="s">
        <v>131</v>
      </c>
    </row>
    <row r="10" customFormat="false" ht="23.85" hidden="false" customHeight="false" outlineLevel="0" collapsed="false">
      <c r="A10" s="15" t="s">
        <v>140</v>
      </c>
      <c r="B10" s="15" t="s">
        <v>141</v>
      </c>
      <c r="C10" s="15" t="s">
        <v>88</v>
      </c>
      <c r="D10" s="15" t="s">
        <v>129</v>
      </c>
      <c r="E10" s="15" t="s">
        <v>86</v>
      </c>
      <c r="F10" s="15" t="n">
        <v>5</v>
      </c>
      <c r="G10" s="15" t="s">
        <v>130</v>
      </c>
      <c r="H10" s="15" t="s">
        <v>34</v>
      </c>
      <c r="I10" s="15" t="s">
        <v>142</v>
      </c>
    </row>
    <row r="11" customFormat="false" ht="15" hidden="false" customHeight="false" outlineLevel="0" collapsed="false">
      <c r="A11" s="13" t="s">
        <v>143</v>
      </c>
      <c r="B11" s="13" t="s">
        <v>144</v>
      </c>
      <c r="C11" s="13" t="s">
        <v>47</v>
      </c>
      <c r="D11" s="13" t="s">
        <v>129</v>
      </c>
      <c r="E11" s="13" t="s">
        <v>50</v>
      </c>
      <c r="F11" s="13" t="n">
        <v>8</v>
      </c>
      <c r="G11" s="13" t="s">
        <v>130</v>
      </c>
      <c r="H11" s="13" t="s">
        <v>34</v>
      </c>
      <c r="I11" s="13" t="s">
        <v>142</v>
      </c>
    </row>
    <row r="12" customFormat="false" ht="15" hidden="false" customHeight="false" outlineLevel="0" collapsed="false">
      <c r="A12" s="15" t="s">
        <v>145</v>
      </c>
      <c r="B12" s="15" t="s">
        <v>146</v>
      </c>
      <c r="C12" s="15" t="s">
        <v>47</v>
      </c>
      <c r="D12" s="15" t="s">
        <v>129</v>
      </c>
      <c r="E12" s="15" t="s">
        <v>45</v>
      </c>
      <c r="F12" s="15" t="n">
        <v>8</v>
      </c>
      <c r="G12" s="15" t="s">
        <v>130</v>
      </c>
      <c r="H12" s="15" t="s">
        <v>34</v>
      </c>
      <c r="I12" s="15" t="s">
        <v>142</v>
      </c>
    </row>
    <row r="13" customFormat="false" ht="15" hidden="false" customHeight="false" outlineLevel="0" collapsed="false">
      <c r="A13" s="13" t="s">
        <v>147</v>
      </c>
      <c r="B13" s="13" t="s">
        <v>148</v>
      </c>
      <c r="C13" s="13" t="s">
        <v>73</v>
      </c>
      <c r="D13" s="13" t="s">
        <v>129</v>
      </c>
      <c r="E13" s="13" t="s">
        <v>75</v>
      </c>
      <c r="F13" s="13" t="n">
        <v>5</v>
      </c>
      <c r="G13" s="13" t="s">
        <v>130</v>
      </c>
      <c r="H13" s="13" t="s">
        <v>34</v>
      </c>
      <c r="I13" s="13" t="s">
        <v>142</v>
      </c>
    </row>
    <row r="14" customFormat="false" ht="15" hidden="false" customHeight="false" outlineLevel="0" collapsed="false">
      <c r="A14" s="15" t="s">
        <v>149</v>
      </c>
      <c r="B14" s="15" t="s">
        <v>150</v>
      </c>
      <c r="C14" s="15" t="s">
        <v>80</v>
      </c>
      <c r="D14" s="15" t="s">
        <v>129</v>
      </c>
      <c r="E14" s="15" t="s">
        <v>78</v>
      </c>
      <c r="F14" s="15" t="n">
        <v>3</v>
      </c>
      <c r="G14" s="15" t="s">
        <v>151</v>
      </c>
      <c r="H14" s="15" t="s">
        <v>34</v>
      </c>
      <c r="I14" s="15" t="s">
        <v>142</v>
      </c>
    </row>
    <row r="15" customFormat="false" ht="15" hidden="false" customHeight="false" outlineLevel="0" collapsed="false">
      <c r="A15" s="13" t="s">
        <v>152</v>
      </c>
      <c r="B15" s="13" t="s">
        <v>153</v>
      </c>
      <c r="C15" s="13" t="s">
        <v>47</v>
      </c>
      <c r="D15" s="13" t="s">
        <v>129</v>
      </c>
      <c r="E15" s="13" t="s">
        <v>53</v>
      </c>
      <c r="F15" s="13" t="n">
        <v>8</v>
      </c>
      <c r="G15" s="13" t="s">
        <v>130</v>
      </c>
      <c r="H15" s="13" t="s">
        <v>34</v>
      </c>
      <c r="I15" s="13" t="s">
        <v>154</v>
      </c>
    </row>
    <row r="16" customFormat="false" ht="23.85" hidden="false" customHeight="false" outlineLevel="0" collapsed="false">
      <c r="A16" s="15" t="s">
        <v>155</v>
      </c>
      <c r="B16" s="15" t="s">
        <v>156</v>
      </c>
      <c r="C16" s="15" t="s">
        <v>47</v>
      </c>
      <c r="D16" s="15" t="s">
        <v>129</v>
      </c>
      <c r="E16" s="15" t="s">
        <v>45</v>
      </c>
      <c r="F16" s="15" t="n">
        <v>5</v>
      </c>
      <c r="G16" s="15" t="s">
        <v>130</v>
      </c>
      <c r="H16" s="15" t="s">
        <v>34</v>
      </c>
      <c r="I16" s="15" t="s">
        <v>154</v>
      </c>
    </row>
    <row r="17" customFormat="false" ht="15" hidden="false" customHeight="false" outlineLevel="0" collapsed="false">
      <c r="A17" s="13" t="s">
        <v>157</v>
      </c>
      <c r="B17" s="13" t="s">
        <v>158</v>
      </c>
      <c r="C17" s="13" t="s">
        <v>47</v>
      </c>
      <c r="D17" s="13" t="s">
        <v>129</v>
      </c>
      <c r="E17" s="13" t="s">
        <v>56</v>
      </c>
      <c r="F17" s="13" t="n">
        <v>5</v>
      </c>
      <c r="G17" s="13" t="s">
        <v>130</v>
      </c>
      <c r="H17" s="13" t="s">
        <v>34</v>
      </c>
      <c r="I17" s="13" t="s">
        <v>154</v>
      </c>
    </row>
    <row r="18" customFormat="false" ht="23.85" hidden="false" customHeight="false" outlineLevel="0" collapsed="false">
      <c r="A18" s="15" t="s">
        <v>159</v>
      </c>
      <c r="B18" s="15" t="s">
        <v>160</v>
      </c>
      <c r="C18" s="15" t="s">
        <v>88</v>
      </c>
      <c r="D18" s="15" t="s">
        <v>129</v>
      </c>
      <c r="E18" s="15" t="s">
        <v>53</v>
      </c>
      <c r="F18" s="15" t="n">
        <v>8</v>
      </c>
      <c r="G18" s="15" t="s">
        <v>130</v>
      </c>
      <c r="H18" s="15" t="s">
        <v>34</v>
      </c>
      <c r="I18" s="15" t="s">
        <v>154</v>
      </c>
    </row>
    <row r="19" customFormat="false" ht="23.85" hidden="false" customHeight="false" outlineLevel="0" collapsed="false">
      <c r="A19" s="13" t="s">
        <v>161</v>
      </c>
      <c r="B19" s="13" t="s">
        <v>162</v>
      </c>
      <c r="C19" s="13" t="s">
        <v>73</v>
      </c>
      <c r="D19" s="13" t="s">
        <v>129</v>
      </c>
      <c r="E19" s="13" t="s">
        <v>59</v>
      </c>
      <c r="F19" s="13" t="n">
        <v>8</v>
      </c>
      <c r="G19" s="13" t="s">
        <v>130</v>
      </c>
      <c r="H19" s="13" t="s">
        <v>34</v>
      </c>
      <c r="I19" s="13" t="s">
        <v>154</v>
      </c>
    </row>
    <row r="20" customFormat="false" ht="23.85" hidden="false" customHeight="false" outlineLevel="0" collapsed="false">
      <c r="A20" s="15" t="s">
        <v>163</v>
      </c>
      <c r="B20" s="15" t="s">
        <v>164</v>
      </c>
      <c r="C20" s="15" t="s">
        <v>69</v>
      </c>
      <c r="D20" s="15" t="s">
        <v>129</v>
      </c>
      <c r="E20" s="15" t="s">
        <v>67</v>
      </c>
      <c r="F20" s="15" t="n">
        <v>5</v>
      </c>
      <c r="G20" s="15" t="s">
        <v>151</v>
      </c>
      <c r="H20" s="15" t="s">
        <v>34</v>
      </c>
      <c r="I20" s="15" t="s">
        <v>154</v>
      </c>
    </row>
    <row r="21" customFormat="false" ht="23.85" hidden="false" customHeight="false" outlineLevel="0" collapsed="false">
      <c r="A21" s="13" t="s">
        <v>165</v>
      </c>
      <c r="B21" s="13" t="s">
        <v>166</v>
      </c>
      <c r="C21" s="13" t="s">
        <v>47</v>
      </c>
      <c r="D21" s="13" t="s">
        <v>129</v>
      </c>
      <c r="E21" s="13" t="s">
        <v>62</v>
      </c>
      <c r="F21" s="13" t="n">
        <v>5</v>
      </c>
      <c r="G21" s="13" t="s">
        <v>130</v>
      </c>
      <c r="H21" s="13" t="s">
        <v>34</v>
      </c>
      <c r="I21" s="13" t="s">
        <v>167</v>
      </c>
    </row>
    <row r="22" customFormat="false" ht="23.85" hidden="false" customHeight="false" outlineLevel="0" collapsed="false">
      <c r="A22" s="15" t="s">
        <v>168</v>
      </c>
      <c r="B22" s="15" t="s">
        <v>169</v>
      </c>
      <c r="C22" s="15" t="s">
        <v>47</v>
      </c>
      <c r="D22" s="15" t="s">
        <v>129</v>
      </c>
      <c r="E22" s="15" t="s">
        <v>62</v>
      </c>
      <c r="F22" s="15" t="n">
        <v>5</v>
      </c>
      <c r="G22" s="15" t="s">
        <v>130</v>
      </c>
      <c r="H22" s="15" t="s">
        <v>34</v>
      </c>
      <c r="I22" s="15" t="s">
        <v>167</v>
      </c>
    </row>
    <row r="23" customFormat="false" ht="15" hidden="false" customHeight="false" outlineLevel="0" collapsed="false">
      <c r="A23" s="13" t="s">
        <v>170</v>
      </c>
      <c r="B23" s="13" t="s">
        <v>171</v>
      </c>
      <c r="C23" s="13" t="s">
        <v>88</v>
      </c>
      <c r="D23" s="13" t="s">
        <v>129</v>
      </c>
      <c r="E23" s="13" t="s">
        <v>86</v>
      </c>
      <c r="F23" s="13" t="n">
        <v>8</v>
      </c>
      <c r="G23" s="13" t="s">
        <v>130</v>
      </c>
      <c r="H23" s="13" t="s">
        <v>34</v>
      </c>
      <c r="I23" s="13" t="s">
        <v>167</v>
      </c>
    </row>
    <row r="24" customFormat="false" ht="15" hidden="false" customHeight="false" outlineLevel="0" collapsed="false">
      <c r="A24" s="15" t="s">
        <v>172</v>
      </c>
      <c r="B24" s="15" t="s">
        <v>173</v>
      </c>
      <c r="C24" s="15" t="s">
        <v>88</v>
      </c>
      <c r="D24" s="15" t="s">
        <v>129</v>
      </c>
      <c r="E24" s="15" t="s">
        <v>86</v>
      </c>
      <c r="F24" s="15" t="n">
        <v>8</v>
      </c>
      <c r="G24" s="15" t="s">
        <v>130</v>
      </c>
      <c r="H24" s="15" t="s">
        <v>34</v>
      </c>
      <c r="I24" s="15" t="s">
        <v>167</v>
      </c>
    </row>
    <row r="25" customFormat="false" ht="15" hidden="false" customHeight="false" outlineLevel="0" collapsed="false">
      <c r="A25" s="13" t="s">
        <v>174</v>
      </c>
      <c r="B25" s="13" t="s">
        <v>175</v>
      </c>
      <c r="C25" s="13" t="s">
        <v>73</v>
      </c>
      <c r="D25" s="13" t="s">
        <v>129</v>
      </c>
      <c r="E25" s="13" t="s">
        <v>71</v>
      </c>
      <c r="F25" s="13" t="n">
        <v>8</v>
      </c>
      <c r="G25" s="13" t="s">
        <v>130</v>
      </c>
      <c r="H25" s="13" t="s">
        <v>34</v>
      </c>
      <c r="I25" s="13" t="s">
        <v>167</v>
      </c>
    </row>
    <row r="26" customFormat="false" ht="15" hidden="false" customHeight="false" outlineLevel="0" collapsed="false">
      <c r="A26" s="15" t="s">
        <v>176</v>
      </c>
      <c r="B26" s="15" t="s">
        <v>177</v>
      </c>
      <c r="C26" s="15" t="s">
        <v>80</v>
      </c>
      <c r="D26" s="15" t="s">
        <v>129</v>
      </c>
      <c r="E26" s="15" t="s">
        <v>78</v>
      </c>
      <c r="F26" s="15" t="n">
        <v>8</v>
      </c>
      <c r="G26" s="15" t="s">
        <v>130</v>
      </c>
      <c r="H26" s="15" t="s">
        <v>34</v>
      </c>
      <c r="I26" s="15" t="s">
        <v>167</v>
      </c>
    </row>
    <row r="27" customFormat="false" ht="15" hidden="false" customHeight="false" outlineLevel="0" collapsed="false">
      <c r="A27" s="13" t="s">
        <v>178</v>
      </c>
      <c r="B27" s="13" t="s">
        <v>179</v>
      </c>
      <c r="C27" s="13" t="s">
        <v>47</v>
      </c>
      <c r="D27" s="13" t="s">
        <v>129</v>
      </c>
      <c r="E27" s="13" t="s">
        <v>62</v>
      </c>
      <c r="F27" s="13" t="n">
        <v>8</v>
      </c>
      <c r="G27" s="13" t="s">
        <v>130</v>
      </c>
      <c r="H27" s="13" t="s">
        <v>34</v>
      </c>
      <c r="I27" s="13" t="s">
        <v>180</v>
      </c>
    </row>
    <row r="28" customFormat="false" ht="15" hidden="false" customHeight="false" outlineLevel="0" collapsed="false">
      <c r="A28" s="15" t="s">
        <v>181</v>
      </c>
      <c r="B28" s="15" t="s">
        <v>182</v>
      </c>
      <c r="C28" s="15" t="s">
        <v>47</v>
      </c>
      <c r="D28" s="15" t="s">
        <v>129</v>
      </c>
      <c r="E28" s="15" t="s">
        <v>45</v>
      </c>
      <c r="F28" s="15" t="n">
        <v>3</v>
      </c>
      <c r="G28" s="15" t="s">
        <v>151</v>
      </c>
      <c r="H28" s="15" t="s">
        <v>34</v>
      </c>
      <c r="I28" s="15" t="s">
        <v>180</v>
      </c>
    </row>
    <row r="29" customFormat="false" ht="15" hidden="false" customHeight="false" outlineLevel="0" collapsed="false">
      <c r="A29" s="13" t="s">
        <v>183</v>
      </c>
      <c r="B29" s="13" t="s">
        <v>184</v>
      </c>
      <c r="C29" s="13" t="s">
        <v>88</v>
      </c>
      <c r="D29" s="13" t="s">
        <v>129</v>
      </c>
      <c r="E29" s="13" t="s">
        <v>114</v>
      </c>
      <c r="F29" s="13" t="n">
        <v>5</v>
      </c>
      <c r="G29" s="13" t="s">
        <v>130</v>
      </c>
      <c r="H29" s="13" t="s">
        <v>34</v>
      </c>
      <c r="I29" s="13" t="s">
        <v>180</v>
      </c>
    </row>
    <row r="30" customFormat="false" ht="15" hidden="false" customHeight="false" outlineLevel="0" collapsed="false">
      <c r="A30" s="15" t="s">
        <v>185</v>
      </c>
      <c r="B30" s="15" t="s">
        <v>186</v>
      </c>
      <c r="C30" s="15" t="s">
        <v>73</v>
      </c>
      <c r="D30" s="15" t="s">
        <v>129</v>
      </c>
      <c r="E30" s="15" t="s">
        <v>71</v>
      </c>
      <c r="F30" s="15" t="n">
        <v>5</v>
      </c>
      <c r="G30" s="15" t="s">
        <v>151</v>
      </c>
      <c r="H30" s="15" t="s">
        <v>34</v>
      </c>
      <c r="I30" s="15" t="s">
        <v>180</v>
      </c>
    </row>
    <row r="31" customFormat="false" ht="23.85" hidden="false" customHeight="false" outlineLevel="0" collapsed="false">
      <c r="A31" s="13" t="s">
        <v>187</v>
      </c>
      <c r="B31" s="13" t="s">
        <v>188</v>
      </c>
      <c r="C31" s="13" t="s">
        <v>80</v>
      </c>
      <c r="D31" s="13" t="s">
        <v>129</v>
      </c>
      <c r="E31" s="13" t="s">
        <v>78</v>
      </c>
      <c r="F31" s="13" t="n">
        <v>5</v>
      </c>
      <c r="G31" s="13" t="s">
        <v>130</v>
      </c>
      <c r="H31" s="13" t="s">
        <v>34</v>
      </c>
      <c r="I31" s="13" t="s">
        <v>180</v>
      </c>
    </row>
    <row r="32" customFormat="false" ht="15" hidden="false" customHeight="false" outlineLevel="0" collapsed="false">
      <c r="A32" s="15" t="s">
        <v>189</v>
      </c>
      <c r="B32" s="15" t="s">
        <v>190</v>
      </c>
      <c r="C32" s="15" t="s">
        <v>108</v>
      </c>
      <c r="D32" s="15" t="s">
        <v>129</v>
      </c>
      <c r="E32" s="15" t="s">
        <v>106</v>
      </c>
      <c r="F32" s="15" t="n">
        <v>5</v>
      </c>
      <c r="G32" s="15" t="s">
        <v>130</v>
      </c>
      <c r="H32" s="15" t="s">
        <v>34</v>
      </c>
      <c r="I32" s="15" t="s">
        <v>180</v>
      </c>
    </row>
    <row r="33" customFormat="false" ht="23.85" hidden="false" customHeight="false" outlineLevel="0" collapsed="false">
      <c r="A33" s="13" t="s">
        <v>191</v>
      </c>
      <c r="B33" s="13" t="s">
        <v>192</v>
      </c>
      <c r="C33" s="13" t="s">
        <v>47</v>
      </c>
      <c r="D33" s="13" t="s">
        <v>129</v>
      </c>
      <c r="E33" s="13" t="s">
        <v>50</v>
      </c>
      <c r="F33" s="13" t="n">
        <v>5</v>
      </c>
      <c r="G33" s="13" t="s">
        <v>130</v>
      </c>
      <c r="H33" s="13" t="s">
        <v>34</v>
      </c>
      <c r="I33" s="13" t="s">
        <v>193</v>
      </c>
    </row>
    <row r="34" customFormat="false" ht="15" hidden="false" customHeight="false" outlineLevel="0" collapsed="false">
      <c r="A34" s="15" t="s">
        <v>194</v>
      </c>
      <c r="B34" s="15" t="s">
        <v>195</v>
      </c>
      <c r="C34" s="15" t="s">
        <v>47</v>
      </c>
      <c r="D34" s="15" t="s">
        <v>129</v>
      </c>
      <c r="E34" s="15" t="s">
        <v>98</v>
      </c>
      <c r="F34" s="15" t="n">
        <v>5</v>
      </c>
      <c r="G34" s="15" t="s">
        <v>151</v>
      </c>
      <c r="H34" s="15" t="s">
        <v>34</v>
      </c>
      <c r="I34" s="15" t="s">
        <v>193</v>
      </c>
    </row>
    <row r="35" customFormat="false" ht="23.85" hidden="false" customHeight="false" outlineLevel="0" collapsed="false">
      <c r="A35" s="13" t="s">
        <v>196</v>
      </c>
      <c r="B35" s="13" t="s">
        <v>197</v>
      </c>
      <c r="C35" s="13" t="s">
        <v>73</v>
      </c>
      <c r="D35" s="13" t="s">
        <v>129</v>
      </c>
      <c r="E35" s="13" t="s">
        <v>71</v>
      </c>
      <c r="F35" s="13" t="n">
        <v>5</v>
      </c>
      <c r="G35" s="13" t="s">
        <v>130</v>
      </c>
      <c r="H35" s="13" t="s">
        <v>34</v>
      </c>
      <c r="I35" s="13" t="s">
        <v>193</v>
      </c>
    </row>
    <row r="36" customFormat="false" ht="23.85" hidden="false" customHeight="false" outlineLevel="0" collapsed="false">
      <c r="A36" s="15" t="s">
        <v>198</v>
      </c>
      <c r="B36" s="15" t="s">
        <v>199</v>
      </c>
      <c r="C36" s="15" t="s">
        <v>80</v>
      </c>
      <c r="D36" s="15" t="s">
        <v>129</v>
      </c>
      <c r="E36" s="15" t="s">
        <v>98</v>
      </c>
      <c r="F36" s="15" t="n">
        <v>8</v>
      </c>
      <c r="G36" s="15" t="s">
        <v>151</v>
      </c>
      <c r="H36" s="15" t="s">
        <v>34</v>
      </c>
      <c r="I36" s="15" t="s">
        <v>193</v>
      </c>
    </row>
    <row r="37" customFormat="false" ht="15" hidden="false" customHeight="false" outlineLevel="0" collapsed="false">
      <c r="A37" s="13" t="s">
        <v>200</v>
      </c>
      <c r="B37" s="13" t="s">
        <v>201</v>
      </c>
      <c r="C37" s="13" t="s">
        <v>69</v>
      </c>
      <c r="D37" s="13" t="s">
        <v>129</v>
      </c>
      <c r="E37" s="13" t="s">
        <v>67</v>
      </c>
      <c r="F37" s="13" t="n">
        <v>8</v>
      </c>
      <c r="G37" s="13" t="s">
        <v>130</v>
      </c>
      <c r="H37" s="13" t="s">
        <v>34</v>
      </c>
      <c r="I37" s="13" t="s">
        <v>193</v>
      </c>
    </row>
    <row r="38" customFormat="false" ht="15" hidden="false" customHeight="false" outlineLevel="0" collapsed="false">
      <c r="A38" s="15" t="s">
        <v>202</v>
      </c>
      <c r="B38" s="15" t="s">
        <v>203</v>
      </c>
      <c r="C38" s="15" t="s">
        <v>204</v>
      </c>
      <c r="D38" s="15" t="s">
        <v>129</v>
      </c>
      <c r="E38" s="15" t="s">
        <v>106</v>
      </c>
      <c r="F38" s="15" t="n">
        <v>3</v>
      </c>
      <c r="G38" s="15" t="s">
        <v>130</v>
      </c>
      <c r="H38" s="15" t="s">
        <v>34</v>
      </c>
      <c r="I38" s="15" t="s">
        <v>193</v>
      </c>
    </row>
    <row r="39" customFormat="false" ht="23.85" hidden="false" customHeight="false" outlineLevel="0" collapsed="false">
      <c r="A39" s="13" t="s">
        <v>205</v>
      </c>
      <c r="B39" s="13" t="s">
        <v>206</v>
      </c>
      <c r="C39" s="13" t="s">
        <v>47</v>
      </c>
      <c r="D39" s="13" t="s">
        <v>207</v>
      </c>
      <c r="E39" s="13" t="s">
        <v>56</v>
      </c>
      <c r="F39" s="13" t="n">
        <v>8</v>
      </c>
      <c r="G39" s="13" t="s">
        <v>151</v>
      </c>
      <c r="H39" s="13" t="s">
        <v>34</v>
      </c>
      <c r="I39" s="13" t="s">
        <v>92</v>
      </c>
    </row>
    <row r="40" customFormat="false" ht="15" hidden="false" customHeight="false" outlineLevel="0" collapsed="false">
      <c r="A40" s="15" t="s">
        <v>208</v>
      </c>
      <c r="B40" s="15" t="s">
        <v>209</v>
      </c>
      <c r="C40" s="15" t="s">
        <v>88</v>
      </c>
      <c r="D40" s="15" t="s">
        <v>207</v>
      </c>
      <c r="E40" s="15" t="s">
        <v>90</v>
      </c>
      <c r="F40" s="15" t="n">
        <v>13</v>
      </c>
      <c r="G40" s="15" t="s">
        <v>130</v>
      </c>
      <c r="H40" s="15" t="s">
        <v>34</v>
      </c>
      <c r="I40" s="15" t="s">
        <v>92</v>
      </c>
    </row>
    <row r="41" customFormat="false" ht="15" hidden="false" customHeight="false" outlineLevel="0" collapsed="false">
      <c r="A41" s="13" t="s">
        <v>210</v>
      </c>
      <c r="B41" s="13" t="s">
        <v>211</v>
      </c>
      <c r="C41" s="13" t="s">
        <v>64</v>
      </c>
      <c r="D41" s="13" t="s">
        <v>207</v>
      </c>
      <c r="E41" s="13" t="s">
        <v>62</v>
      </c>
      <c r="F41" s="13" t="n">
        <v>8</v>
      </c>
      <c r="G41" s="13" t="s">
        <v>151</v>
      </c>
      <c r="H41" s="13" t="s">
        <v>34</v>
      </c>
      <c r="I41" s="13" t="s">
        <v>92</v>
      </c>
    </row>
    <row r="42" customFormat="false" ht="15" hidden="false" customHeight="false" outlineLevel="0" collapsed="false">
      <c r="A42" s="15" t="s">
        <v>212</v>
      </c>
      <c r="B42" s="15" t="s">
        <v>213</v>
      </c>
      <c r="C42" s="15" t="s">
        <v>47</v>
      </c>
      <c r="D42" s="15" t="s">
        <v>207</v>
      </c>
      <c r="E42" s="15" t="s">
        <v>94</v>
      </c>
      <c r="F42" s="15" t="n">
        <v>13</v>
      </c>
      <c r="G42" s="15" t="s">
        <v>151</v>
      </c>
      <c r="H42" s="15" t="s">
        <v>34</v>
      </c>
      <c r="I42" s="15" t="s">
        <v>92</v>
      </c>
    </row>
    <row r="43" customFormat="false" ht="15" hidden="false" customHeight="false" outlineLevel="0" collapsed="false">
      <c r="A43" s="13" t="s">
        <v>214</v>
      </c>
      <c r="B43" s="13" t="s">
        <v>215</v>
      </c>
      <c r="C43" s="13" t="s">
        <v>80</v>
      </c>
      <c r="D43" s="13" t="s">
        <v>207</v>
      </c>
      <c r="E43" s="13" t="s">
        <v>82</v>
      </c>
      <c r="F43" s="13" t="n">
        <v>8</v>
      </c>
      <c r="G43" s="13" t="s">
        <v>151</v>
      </c>
      <c r="H43" s="13" t="s">
        <v>34</v>
      </c>
      <c r="I43" s="13" t="s">
        <v>216</v>
      </c>
    </row>
    <row r="44" customFormat="false" ht="15" hidden="false" customHeight="false" outlineLevel="0" collapsed="false">
      <c r="A44" s="15" t="s">
        <v>217</v>
      </c>
      <c r="B44" s="15" t="s">
        <v>218</v>
      </c>
      <c r="C44" s="15" t="s">
        <v>64</v>
      </c>
      <c r="D44" s="15" t="s">
        <v>207</v>
      </c>
      <c r="E44" s="15" t="s">
        <v>62</v>
      </c>
      <c r="F44" s="15" t="n">
        <v>8</v>
      </c>
      <c r="G44" s="15" t="s">
        <v>219</v>
      </c>
      <c r="H44" s="15" t="s">
        <v>34</v>
      </c>
      <c r="I44" s="15" t="s">
        <v>216</v>
      </c>
    </row>
    <row r="45" customFormat="false" ht="15" hidden="false" customHeight="false" outlineLevel="0" collapsed="false">
      <c r="A45" s="13" t="s">
        <v>220</v>
      </c>
      <c r="B45" s="13" t="s">
        <v>221</v>
      </c>
      <c r="C45" s="13" t="s">
        <v>80</v>
      </c>
      <c r="D45" s="13" t="s">
        <v>207</v>
      </c>
      <c r="E45" s="13" t="s">
        <v>78</v>
      </c>
      <c r="F45" s="13" t="n">
        <v>8</v>
      </c>
      <c r="G45" s="13" t="s">
        <v>151</v>
      </c>
      <c r="H45" s="13" t="s">
        <v>34</v>
      </c>
      <c r="I45" s="13" t="s">
        <v>216</v>
      </c>
    </row>
    <row r="46" customFormat="false" ht="15" hidden="false" customHeight="false" outlineLevel="0" collapsed="false">
      <c r="A46" s="15" t="s">
        <v>222</v>
      </c>
      <c r="B46" s="15" t="s">
        <v>223</v>
      </c>
      <c r="C46" s="15" t="s">
        <v>47</v>
      </c>
      <c r="D46" s="15" t="s">
        <v>207</v>
      </c>
      <c r="E46" s="15" t="s">
        <v>94</v>
      </c>
      <c r="F46" s="15" t="n">
        <v>13</v>
      </c>
      <c r="G46" s="15" t="s">
        <v>130</v>
      </c>
      <c r="H46" s="15" t="s">
        <v>34</v>
      </c>
      <c r="I46" s="15" t="s">
        <v>96</v>
      </c>
    </row>
    <row r="47" customFormat="false" ht="15" hidden="false" customHeight="false" outlineLevel="0" collapsed="false">
      <c r="A47" s="13" t="s">
        <v>224</v>
      </c>
      <c r="B47" s="13" t="s">
        <v>225</v>
      </c>
      <c r="C47" s="13" t="s">
        <v>73</v>
      </c>
      <c r="D47" s="13" t="s">
        <v>207</v>
      </c>
      <c r="E47" s="13" t="s">
        <v>71</v>
      </c>
      <c r="F47" s="13" t="n">
        <v>8</v>
      </c>
      <c r="G47" s="13" t="s">
        <v>151</v>
      </c>
      <c r="H47" s="13" t="s">
        <v>34</v>
      </c>
      <c r="I47" s="13" t="s">
        <v>96</v>
      </c>
    </row>
    <row r="48" customFormat="false" ht="15" hidden="false" customHeight="false" outlineLevel="0" collapsed="false">
      <c r="A48" s="15" t="s">
        <v>226</v>
      </c>
      <c r="B48" s="15" t="s">
        <v>227</v>
      </c>
      <c r="C48" s="15" t="s">
        <v>204</v>
      </c>
      <c r="D48" s="15" t="s">
        <v>207</v>
      </c>
      <c r="E48" s="15" t="s">
        <v>228</v>
      </c>
      <c r="F48" s="15" t="n">
        <v>5</v>
      </c>
      <c r="G48" s="15" t="s">
        <v>130</v>
      </c>
      <c r="H48" s="15" t="s">
        <v>34</v>
      </c>
      <c r="I48" s="15" t="s">
        <v>96</v>
      </c>
    </row>
    <row r="49" customFormat="false" ht="23.85" hidden="false" customHeight="false" outlineLevel="0" collapsed="false">
      <c r="A49" s="13" t="s">
        <v>229</v>
      </c>
      <c r="B49" s="13" t="s">
        <v>230</v>
      </c>
      <c r="C49" s="13" t="s">
        <v>88</v>
      </c>
      <c r="D49" s="13" t="s">
        <v>207</v>
      </c>
      <c r="E49" s="13" t="s">
        <v>86</v>
      </c>
      <c r="F49" s="13" t="n">
        <v>13</v>
      </c>
      <c r="G49" s="13" t="s">
        <v>130</v>
      </c>
      <c r="H49" s="13" t="s">
        <v>34</v>
      </c>
      <c r="I49" s="13" t="s">
        <v>231</v>
      </c>
    </row>
    <row r="50" customFormat="false" ht="15" hidden="false" customHeight="false" outlineLevel="0" collapsed="false">
      <c r="A50" s="15" t="s">
        <v>232</v>
      </c>
      <c r="B50" s="15" t="s">
        <v>233</v>
      </c>
      <c r="C50" s="15" t="s">
        <v>103</v>
      </c>
      <c r="D50" s="15" t="s">
        <v>207</v>
      </c>
      <c r="E50" s="15" t="s">
        <v>101</v>
      </c>
      <c r="F50" s="15" t="n">
        <v>13</v>
      </c>
      <c r="G50" s="15" t="s">
        <v>130</v>
      </c>
      <c r="H50" s="15" t="s">
        <v>34</v>
      </c>
      <c r="I50" s="15" t="s">
        <v>231</v>
      </c>
    </row>
    <row r="51" customFormat="false" ht="15" hidden="false" customHeight="false" outlineLevel="0" collapsed="false">
      <c r="A51" s="13" t="s">
        <v>234</v>
      </c>
      <c r="B51" s="13" t="s">
        <v>235</v>
      </c>
      <c r="C51" s="13" t="s">
        <v>108</v>
      </c>
      <c r="D51" s="13" t="s">
        <v>207</v>
      </c>
      <c r="E51" s="13" t="s">
        <v>110</v>
      </c>
      <c r="F51" s="13" t="n">
        <v>13</v>
      </c>
      <c r="G51" s="13" t="s">
        <v>151</v>
      </c>
      <c r="H51" s="13" t="s">
        <v>34</v>
      </c>
      <c r="I51" s="13" t="s">
        <v>231</v>
      </c>
    </row>
    <row r="52" customFormat="false" ht="15" hidden="false" customHeight="false" outlineLevel="0" collapsed="false">
      <c r="A52" s="15" t="s">
        <v>236</v>
      </c>
      <c r="B52" s="15" t="s">
        <v>237</v>
      </c>
      <c r="C52" s="15" t="s">
        <v>69</v>
      </c>
      <c r="D52" s="15" t="s">
        <v>207</v>
      </c>
      <c r="E52" s="15" t="s">
        <v>67</v>
      </c>
      <c r="F52" s="15" t="n">
        <v>13</v>
      </c>
      <c r="G52" s="15" t="s">
        <v>130</v>
      </c>
      <c r="H52" s="15" t="s">
        <v>34</v>
      </c>
      <c r="I52" s="15" t="s">
        <v>238</v>
      </c>
    </row>
    <row r="53" customFormat="false" ht="15" hidden="false" customHeight="false" outlineLevel="0" collapsed="false">
      <c r="A53" s="13" t="s">
        <v>239</v>
      </c>
      <c r="B53" s="13" t="s">
        <v>240</v>
      </c>
      <c r="C53" s="13" t="s">
        <v>69</v>
      </c>
      <c r="D53" s="13" t="s">
        <v>207</v>
      </c>
      <c r="E53" s="13" t="s">
        <v>67</v>
      </c>
      <c r="F53" s="13" t="n">
        <v>8</v>
      </c>
      <c r="G53" s="13" t="s">
        <v>151</v>
      </c>
      <c r="H53" s="13" t="s">
        <v>34</v>
      </c>
      <c r="I53" s="13" t="s">
        <v>238</v>
      </c>
    </row>
    <row r="54" customFormat="false" ht="15" hidden="false" customHeight="false" outlineLevel="0" collapsed="false">
      <c r="A54" s="15" t="s">
        <v>241</v>
      </c>
      <c r="B54" s="15" t="s">
        <v>242</v>
      </c>
      <c r="C54" s="15" t="s">
        <v>88</v>
      </c>
      <c r="D54" s="15" t="s">
        <v>207</v>
      </c>
      <c r="E54" s="15" t="s">
        <v>117</v>
      </c>
      <c r="F54" s="15" t="n">
        <v>13</v>
      </c>
      <c r="G54" s="15" t="s">
        <v>130</v>
      </c>
      <c r="H54" s="15" t="s">
        <v>34</v>
      </c>
      <c r="I54" s="15" t="s">
        <v>104</v>
      </c>
    </row>
  </sheetData>
  <mergeCells count="2">
    <mergeCell ref="A1:H1"/>
    <mergeCell ref="A2:H2"/>
  </mergeCells>
  <conditionalFormatting sqref="H5:H5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124</v>
      </c>
      <c r="B4" s="12" t="s">
        <v>245</v>
      </c>
      <c r="C4" s="12" t="s">
        <v>246</v>
      </c>
      <c r="D4" s="12" t="s">
        <v>247</v>
      </c>
      <c r="E4" s="12" t="s">
        <v>121</v>
      </c>
      <c r="F4" s="12" t="s">
        <v>248</v>
      </c>
      <c r="G4" s="12" t="s">
        <v>40</v>
      </c>
    </row>
    <row r="5" customFormat="false" ht="23.85" hidden="false" customHeight="false" outlineLevel="0" collapsed="false">
      <c r="A5" s="13" t="s">
        <v>129</v>
      </c>
      <c r="B5" s="13" t="s">
        <v>249</v>
      </c>
      <c r="C5" s="13" t="s">
        <v>250</v>
      </c>
      <c r="D5" s="13" t="s">
        <v>251</v>
      </c>
      <c r="E5" s="13" t="s">
        <v>252</v>
      </c>
      <c r="F5" s="13" t="n">
        <f aca="false">SUMIFS(Stories!F:F,Stories!D:D,A5)</f>
        <v>196</v>
      </c>
      <c r="G5" s="13" t="s">
        <v>34</v>
      </c>
    </row>
    <row r="6" customFormat="false" ht="23.85" hidden="false" customHeight="false" outlineLevel="0" collapsed="false">
      <c r="A6" s="15" t="s">
        <v>207</v>
      </c>
      <c r="B6" s="15" t="s">
        <v>253</v>
      </c>
      <c r="C6" s="15" t="s">
        <v>254</v>
      </c>
      <c r="D6" s="15" t="s">
        <v>255</v>
      </c>
      <c r="E6" s="15" t="s">
        <v>256</v>
      </c>
      <c r="F6" s="15" t="n">
        <f aca="false">SUMIFS(Stories!F:F,Stories!D:D,A6)</f>
        <v>165</v>
      </c>
      <c r="G6" s="15" t="s">
        <v>34</v>
      </c>
    </row>
    <row r="7" customFormat="false" ht="23.85" hidden="false" customHeight="false" outlineLevel="0" collapsed="false">
      <c r="A7" s="13" t="s">
        <v>257</v>
      </c>
      <c r="B7" s="13" t="s">
        <v>258</v>
      </c>
      <c r="C7" s="13" t="s">
        <v>259</v>
      </c>
      <c r="D7" s="13" t="s">
        <v>260</v>
      </c>
      <c r="E7" s="13" t="s">
        <v>261</v>
      </c>
      <c r="F7" s="13" t="n">
        <f aca="false">SUMIFS(Stories!F:F,Stories!D:D,A7)</f>
        <v>0</v>
      </c>
      <c r="G7" s="13" t="s">
        <v>34</v>
      </c>
    </row>
    <row r="8" customFormat="false" ht="23.85" hidden="false" customHeight="false" outlineLevel="0" collapsed="false">
      <c r="A8" s="15" t="s">
        <v>262</v>
      </c>
      <c r="B8" s="15" t="s">
        <v>263</v>
      </c>
      <c r="C8" s="15" t="s">
        <v>264</v>
      </c>
      <c r="D8" s="15" t="s">
        <v>265</v>
      </c>
      <c r="E8" s="15" t="s">
        <v>266</v>
      </c>
      <c r="F8" s="15" t="n">
        <f aca="false">SUMIFS(Stories!F:F,Stories!D:D,A8)</f>
        <v>0</v>
      </c>
      <c r="G8" s="15" t="s">
        <v>34</v>
      </c>
    </row>
    <row r="9" customFormat="false" ht="23.85" hidden="false" customHeight="false" outlineLevel="0" collapsed="false">
      <c r="A9" s="13" t="s">
        <v>267</v>
      </c>
      <c r="B9" s="13" t="s">
        <v>268</v>
      </c>
      <c r="C9" s="13" t="s">
        <v>269</v>
      </c>
      <c r="D9" s="13" t="s">
        <v>270</v>
      </c>
      <c r="E9" s="13" t="s">
        <v>271</v>
      </c>
      <c r="F9" s="13" t="n">
        <f aca="false">SUMIFS(Stories!F:F,Stories!D:D,A9)</f>
        <v>0</v>
      </c>
      <c r="G9" s="13" t="s">
        <v>34</v>
      </c>
    </row>
    <row r="10" customFormat="false" ht="23.85" hidden="false" customHeight="false" outlineLevel="0" collapsed="false">
      <c r="A10" s="15" t="s">
        <v>272</v>
      </c>
      <c r="B10" s="15" t="s">
        <v>273</v>
      </c>
      <c r="C10" s="15" t="s">
        <v>274</v>
      </c>
      <c r="D10" s="15" t="s">
        <v>275</v>
      </c>
      <c r="E10" s="15" t="s">
        <v>276</v>
      </c>
      <c r="F10" s="15" t="n">
        <f aca="false">SUMIFS(Stories!F:F,Stories!D:D,A10)</f>
        <v>0</v>
      </c>
      <c r="G10" s="15" t="s">
        <v>34</v>
      </c>
    </row>
    <row r="11" customFormat="false" ht="23.85" hidden="false" customHeight="false" outlineLevel="0" collapsed="false">
      <c r="A11" s="13" t="s">
        <v>277</v>
      </c>
      <c r="B11" s="13" t="s">
        <v>278</v>
      </c>
      <c r="C11" s="13" t="s">
        <v>279</v>
      </c>
      <c r="D11" s="13" t="s">
        <v>280</v>
      </c>
      <c r="E11" s="13" t="s">
        <v>241</v>
      </c>
      <c r="F11" s="13" t="n">
        <f aca="false">SUMIFS(Stories!F:F,Stories!D:D,A11)</f>
        <v>0</v>
      </c>
      <c r="G11" s="13" t="s">
        <v>34</v>
      </c>
    </row>
  </sheetData>
  <mergeCells count="2">
    <mergeCell ref="A1:H1"/>
    <mergeCell ref="A2:H2"/>
  </mergeCells>
  <conditionalFormatting sqref="G5:G1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6"/>
  </cols>
  <sheetData>
    <row r="1" customFormat="false" ht="27.75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283</v>
      </c>
      <c r="B4" s="12" t="s">
        <v>284</v>
      </c>
      <c r="C4" s="12" t="s">
        <v>285</v>
      </c>
      <c r="D4" s="12" t="s">
        <v>286</v>
      </c>
      <c r="E4" s="12" t="s">
        <v>287</v>
      </c>
      <c r="F4" s="12" t="s">
        <v>2</v>
      </c>
      <c r="G4" s="12" t="s">
        <v>44</v>
      </c>
    </row>
    <row r="5" customFormat="false" ht="23.85" hidden="false" customHeight="false" outlineLevel="0" collapsed="false">
      <c r="A5" s="13" t="n">
        <v>1</v>
      </c>
      <c r="B5" s="13" t="s">
        <v>288</v>
      </c>
      <c r="C5" s="13" t="s">
        <v>289</v>
      </c>
      <c r="D5" s="13" t="s">
        <v>290</v>
      </c>
      <c r="E5" s="13" t="s">
        <v>291</v>
      </c>
      <c r="F5" s="13" t="s">
        <v>3</v>
      </c>
      <c r="G5" s="13" t="s">
        <v>292</v>
      </c>
    </row>
    <row r="6" customFormat="false" ht="23.85" hidden="false" customHeight="false" outlineLevel="0" collapsed="false">
      <c r="A6" s="15" t="n">
        <v>2</v>
      </c>
      <c r="B6" s="15" t="s">
        <v>293</v>
      </c>
      <c r="C6" s="15" t="s">
        <v>294</v>
      </c>
      <c r="D6" s="15" t="s">
        <v>290</v>
      </c>
      <c r="E6" s="15" t="s">
        <v>291</v>
      </c>
      <c r="F6" s="15" t="s">
        <v>3</v>
      </c>
      <c r="G6" s="15" t="s">
        <v>295</v>
      </c>
    </row>
    <row r="7" customFormat="false" ht="23.85" hidden="false" customHeight="false" outlineLevel="0" collapsed="false">
      <c r="A7" s="13" t="n">
        <v>3</v>
      </c>
      <c r="B7" s="13" t="s">
        <v>296</v>
      </c>
      <c r="C7" s="13" t="s">
        <v>297</v>
      </c>
      <c r="D7" s="13" t="s">
        <v>290</v>
      </c>
      <c r="E7" s="13" t="s">
        <v>298</v>
      </c>
      <c r="F7" s="13" t="s">
        <v>3</v>
      </c>
      <c r="G7" s="13" t="s">
        <v>299</v>
      </c>
    </row>
    <row r="8" customFormat="false" ht="23.85" hidden="false" customHeight="false" outlineLevel="0" collapsed="false">
      <c r="A8" s="15" t="n">
        <v>4</v>
      </c>
      <c r="B8" s="15" t="s">
        <v>300</v>
      </c>
      <c r="C8" s="15" t="s">
        <v>301</v>
      </c>
      <c r="D8" s="15" t="s">
        <v>302</v>
      </c>
      <c r="E8" s="15" t="s">
        <v>298</v>
      </c>
      <c r="F8" s="15" t="s">
        <v>3</v>
      </c>
      <c r="G8" s="15" t="s">
        <v>303</v>
      </c>
    </row>
    <row r="9" customFormat="false" ht="23.85" hidden="false" customHeight="false" outlineLevel="0" collapsed="false">
      <c r="A9" s="13" t="n">
        <v>5</v>
      </c>
      <c r="B9" s="13" t="s">
        <v>304</v>
      </c>
      <c r="C9" s="13" t="s">
        <v>305</v>
      </c>
      <c r="D9" s="13" t="s">
        <v>302</v>
      </c>
      <c r="E9" s="13" t="s">
        <v>298</v>
      </c>
      <c r="F9" s="13" t="s">
        <v>3</v>
      </c>
      <c r="G9" s="13" t="s">
        <v>306</v>
      </c>
    </row>
    <row r="10" customFormat="false" ht="23.85" hidden="false" customHeight="false" outlineLevel="0" collapsed="false">
      <c r="A10" s="15" t="n">
        <v>6</v>
      </c>
      <c r="B10" s="15" t="s">
        <v>307</v>
      </c>
      <c r="C10" s="15" t="s">
        <v>308</v>
      </c>
      <c r="D10" s="15" t="s">
        <v>309</v>
      </c>
      <c r="E10" s="15" t="s">
        <v>298</v>
      </c>
      <c r="F10" s="15" t="s">
        <v>204</v>
      </c>
      <c r="G10" s="15" t="s">
        <v>310</v>
      </c>
    </row>
    <row r="11" customFormat="false" ht="23.85" hidden="false" customHeight="false" outlineLevel="0" collapsed="false">
      <c r="A11" s="13" t="n">
        <v>7</v>
      </c>
      <c r="B11" s="13" t="s">
        <v>311</v>
      </c>
      <c r="C11" s="13" t="s">
        <v>312</v>
      </c>
      <c r="D11" s="13" t="s">
        <v>309</v>
      </c>
      <c r="E11" s="13" t="s">
        <v>298</v>
      </c>
      <c r="F11" s="13" t="s">
        <v>3</v>
      </c>
      <c r="G11" s="13" t="s">
        <v>313</v>
      </c>
    </row>
    <row r="12" customFormat="false" ht="23.85" hidden="false" customHeight="false" outlineLevel="0" collapsed="false">
      <c r="A12" s="15" t="n">
        <v>8</v>
      </c>
      <c r="B12" s="15" t="s">
        <v>314</v>
      </c>
      <c r="C12" s="15" t="s">
        <v>315</v>
      </c>
      <c r="D12" s="15" t="s">
        <v>316</v>
      </c>
      <c r="E12" s="15" t="s">
        <v>291</v>
      </c>
      <c r="F12" s="15" t="s">
        <v>3</v>
      </c>
      <c r="G12" s="15" t="s">
        <v>317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319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37</v>
      </c>
      <c r="B4" s="12" t="s">
        <v>320</v>
      </c>
      <c r="C4" s="12" t="s">
        <v>321</v>
      </c>
      <c r="D4" s="12" t="s">
        <v>322</v>
      </c>
      <c r="E4" s="12" t="s">
        <v>2</v>
      </c>
      <c r="F4" s="12" t="s">
        <v>323</v>
      </c>
      <c r="G4" s="12" t="s">
        <v>40</v>
      </c>
    </row>
    <row r="5" customFormat="false" ht="23.85" hidden="false" customHeight="false" outlineLevel="0" collapsed="false">
      <c r="A5" s="13" t="s">
        <v>324</v>
      </c>
      <c r="B5" s="13" t="s">
        <v>325</v>
      </c>
      <c r="C5" s="13" t="s">
        <v>326</v>
      </c>
      <c r="D5" s="13" t="s">
        <v>327</v>
      </c>
      <c r="E5" s="13" t="s">
        <v>204</v>
      </c>
      <c r="F5" s="13" t="s">
        <v>328</v>
      </c>
      <c r="G5" s="13" t="s">
        <v>329</v>
      </c>
    </row>
    <row r="6" customFormat="false" ht="23.85" hidden="false" customHeight="false" outlineLevel="0" collapsed="false">
      <c r="A6" s="15" t="s">
        <v>330</v>
      </c>
      <c r="B6" s="15" t="s">
        <v>331</v>
      </c>
      <c r="C6" s="15" t="s">
        <v>332</v>
      </c>
      <c r="D6" s="15" t="s">
        <v>326</v>
      </c>
      <c r="E6" s="15" t="s">
        <v>47</v>
      </c>
      <c r="F6" s="15" t="s">
        <v>333</v>
      </c>
      <c r="G6" s="15" t="s">
        <v>329</v>
      </c>
    </row>
    <row r="7" customFormat="false" ht="23.85" hidden="false" customHeight="false" outlineLevel="0" collapsed="false">
      <c r="A7" s="13" t="s">
        <v>334</v>
      </c>
      <c r="B7" s="13" t="s">
        <v>335</v>
      </c>
      <c r="C7" s="13" t="s">
        <v>326</v>
      </c>
      <c r="D7" s="13" t="s">
        <v>327</v>
      </c>
      <c r="E7" s="13" t="s">
        <v>69</v>
      </c>
      <c r="F7" s="13" t="s">
        <v>336</v>
      </c>
      <c r="G7" s="13" t="s">
        <v>329</v>
      </c>
    </row>
    <row r="8" customFormat="false" ht="23.85" hidden="false" customHeight="false" outlineLevel="0" collapsed="false">
      <c r="A8" s="15" t="s">
        <v>337</v>
      </c>
      <c r="B8" s="15" t="s">
        <v>338</v>
      </c>
      <c r="C8" s="15" t="s">
        <v>326</v>
      </c>
      <c r="D8" s="15" t="s">
        <v>327</v>
      </c>
      <c r="E8" s="15" t="s">
        <v>3</v>
      </c>
      <c r="F8" s="15" t="s">
        <v>339</v>
      </c>
      <c r="G8" s="15" t="s">
        <v>340</v>
      </c>
    </row>
    <row r="9" customFormat="false" ht="23.85" hidden="false" customHeight="false" outlineLevel="0" collapsed="false">
      <c r="A9" s="13" t="s">
        <v>341</v>
      </c>
      <c r="B9" s="13" t="s">
        <v>342</v>
      </c>
      <c r="C9" s="13" t="s">
        <v>332</v>
      </c>
      <c r="D9" s="13" t="s">
        <v>326</v>
      </c>
      <c r="E9" s="13" t="s">
        <v>204</v>
      </c>
      <c r="F9" s="13" t="s">
        <v>343</v>
      </c>
      <c r="G9" s="13" t="s">
        <v>329</v>
      </c>
    </row>
    <row r="10" customFormat="false" ht="23.85" hidden="false" customHeight="false" outlineLevel="0" collapsed="false">
      <c r="A10" s="15" t="s">
        <v>344</v>
      </c>
      <c r="B10" s="15" t="s">
        <v>345</v>
      </c>
      <c r="C10" s="15" t="s">
        <v>326</v>
      </c>
      <c r="D10" s="15" t="s">
        <v>327</v>
      </c>
      <c r="E10" s="15" t="s">
        <v>47</v>
      </c>
      <c r="F10" s="15" t="s">
        <v>346</v>
      </c>
      <c r="G10" s="15" t="s">
        <v>340</v>
      </c>
    </row>
    <row r="11" customFormat="false" ht="23.85" hidden="false" customHeight="false" outlineLevel="0" collapsed="false">
      <c r="A11" s="13" t="s">
        <v>347</v>
      </c>
      <c r="B11" s="13" t="s">
        <v>348</v>
      </c>
      <c r="C11" s="13" t="s">
        <v>326</v>
      </c>
      <c r="D11" s="13" t="s">
        <v>327</v>
      </c>
      <c r="E11" s="13" t="s">
        <v>103</v>
      </c>
      <c r="F11" s="13" t="s">
        <v>349</v>
      </c>
      <c r="G11" s="13" t="s">
        <v>329</v>
      </c>
    </row>
    <row r="12" customFormat="false" ht="23.85" hidden="false" customHeight="false" outlineLevel="0" collapsed="false">
      <c r="A12" s="15" t="s">
        <v>350</v>
      </c>
      <c r="B12" s="15" t="s">
        <v>351</v>
      </c>
      <c r="C12" s="15" t="s">
        <v>332</v>
      </c>
      <c r="D12" s="15" t="s">
        <v>326</v>
      </c>
      <c r="E12" s="15" t="s">
        <v>204</v>
      </c>
      <c r="F12" s="15" t="s">
        <v>352</v>
      </c>
      <c r="G12" s="15" t="s">
        <v>329</v>
      </c>
    </row>
    <row r="13" customFormat="false" ht="23.85" hidden="false" customHeight="false" outlineLevel="0" collapsed="false">
      <c r="A13" s="13" t="s">
        <v>353</v>
      </c>
      <c r="B13" s="13" t="s">
        <v>354</v>
      </c>
      <c r="C13" s="13" t="s">
        <v>326</v>
      </c>
      <c r="D13" s="13" t="s">
        <v>326</v>
      </c>
      <c r="E13" s="13" t="s">
        <v>73</v>
      </c>
      <c r="F13" s="13" t="s">
        <v>355</v>
      </c>
      <c r="G13" s="13" t="s">
        <v>329</v>
      </c>
    </row>
    <row r="14" customFormat="false" ht="23.85" hidden="false" customHeight="false" outlineLevel="0" collapsed="false">
      <c r="A14" s="15" t="s">
        <v>356</v>
      </c>
      <c r="B14" s="15" t="s">
        <v>357</v>
      </c>
      <c r="C14" s="15" t="s">
        <v>326</v>
      </c>
      <c r="D14" s="15" t="s">
        <v>326</v>
      </c>
      <c r="E14" s="15" t="s">
        <v>3</v>
      </c>
      <c r="F14" s="15" t="s">
        <v>358</v>
      </c>
      <c r="G14" s="15" t="s">
        <v>329</v>
      </c>
    </row>
    <row r="15" customFormat="false" ht="23.85" hidden="false" customHeight="false" outlineLevel="0" collapsed="false">
      <c r="A15" s="13" t="s">
        <v>359</v>
      </c>
      <c r="B15" s="13" t="s">
        <v>360</v>
      </c>
      <c r="C15" s="13" t="s">
        <v>327</v>
      </c>
      <c r="D15" s="13" t="s">
        <v>332</v>
      </c>
      <c r="E15" s="13" t="s">
        <v>64</v>
      </c>
      <c r="F15" s="13" t="s">
        <v>361</v>
      </c>
      <c r="G15" s="13" t="s">
        <v>329</v>
      </c>
    </row>
    <row r="16" customFormat="false" ht="23.85" hidden="false" customHeight="false" outlineLevel="0" collapsed="false">
      <c r="A16" s="15" t="s">
        <v>362</v>
      </c>
      <c r="B16" s="15" t="s">
        <v>363</v>
      </c>
      <c r="C16" s="15" t="s">
        <v>326</v>
      </c>
      <c r="D16" s="15" t="s">
        <v>332</v>
      </c>
      <c r="E16" s="15" t="s">
        <v>80</v>
      </c>
      <c r="F16" s="15" t="s">
        <v>364</v>
      </c>
      <c r="G16" s="15" t="s">
        <v>340</v>
      </c>
    </row>
  </sheetData>
  <mergeCells count="2">
    <mergeCell ref="A1:H1"/>
    <mergeCell ref="A2:H2"/>
  </mergeCells>
  <conditionalFormatting sqref="C5:C16">
    <cfRule type="cellIs" priority="2" operator="equal" aboveAverage="0" equalAverage="0" bottom="0" percent="0" rank="0" text="" dxfId="4">
      <formula>"High"</formula>
    </cfRule>
    <cfRule type="cellIs" priority="3" operator="equal" aboveAverage="0" equalAverage="0" bottom="0" percent="0" rank="0" text="" dxfId="3">
      <formula>"Med"</formula>
    </cfRule>
    <cfRule type="cellIs" priority="4" operator="equal" aboveAverage="0" equalAverage="0" bottom="0" percent="0" rank="0" text="" dxfId="0">
      <formula>"Low"</formula>
    </cfRule>
  </conditionalFormatting>
  <conditionalFormatting sqref="D5:D16">
    <cfRule type="cellIs" priority="5" operator="equal" aboveAverage="0" equalAverage="0" bottom="0" percent="0" rank="0" text="" dxfId="4">
      <formula>"High"</formula>
    </cfRule>
    <cfRule type="cellIs" priority="6" operator="equal" aboveAverage="0" equalAverage="0" bottom="0" percent="0" rank="0" text="" dxfId="3">
      <formula>"Med"</formula>
    </cfRule>
    <cfRule type="cellIs" priority="7" operator="equal" aboveAverage="0" equalAverage="0" bottom="0" percent="0" rank="0" text="" dxfId="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6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365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366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2" t="s">
        <v>367</v>
      </c>
      <c r="B4" s="12" t="s">
        <v>368</v>
      </c>
      <c r="C4" s="12" t="s">
        <v>369</v>
      </c>
      <c r="D4" s="12" t="s">
        <v>40</v>
      </c>
    </row>
    <row r="5" customFormat="false" ht="15" hidden="false" customHeight="false" outlineLevel="0" collapsed="false">
      <c r="A5" s="13" t="s">
        <v>290</v>
      </c>
      <c r="B5" s="13" t="s">
        <v>370</v>
      </c>
      <c r="C5" s="13" t="s">
        <v>371</v>
      </c>
      <c r="D5" s="13" t="s">
        <v>34</v>
      </c>
    </row>
    <row r="6" customFormat="false" ht="15" hidden="false" customHeight="false" outlineLevel="0" collapsed="false">
      <c r="A6" s="15" t="s">
        <v>302</v>
      </c>
      <c r="B6" s="15" t="s">
        <v>372</v>
      </c>
      <c r="C6" s="15" t="s">
        <v>373</v>
      </c>
      <c r="D6" s="15" t="s">
        <v>34</v>
      </c>
    </row>
    <row r="7" customFormat="false" ht="15" hidden="false" customHeight="false" outlineLevel="0" collapsed="false">
      <c r="A7" s="13" t="s">
        <v>374</v>
      </c>
      <c r="B7" s="13" t="s">
        <v>375</v>
      </c>
      <c r="C7" s="13" t="s">
        <v>376</v>
      </c>
      <c r="D7" s="13" t="s">
        <v>34</v>
      </c>
    </row>
    <row r="8" customFormat="false" ht="15" hidden="false" customHeight="false" outlineLevel="0" collapsed="false">
      <c r="A8" s="15" t="s">
        <v>309</v>
      </c>
      <c r="B8" s="15" t="s">
        <v>377</v>
      </c>
      <c r="C8" s="15" t="s">
        <v>378</v>
      </c>
      <c r="D8" s="15" t="s">
        <v>34</v>
      </c>
    </row>
    <row r="9" customFormat="false" ht="15" hidden="false" customHeight="false" outlineLevel="0" collapsed="false">
      <c r="A9" s="13" t="s">
        <v>379</v>
      </c>
      <c r="B9" s="13" t="s">
        <v>380</v>
      </c>
      <c r="C9" s="13" t="s">
        <v>381</v>
      </c>
      <c r="D9" s="13" t="s">
        <v>34</v>
      </c>
    </row>
    <row r="10" customFormat="false" ht="15" hidden="false" customHeight="false" outlineLevel="0" collapsed="false">
      <c r="A10" s="15" t="s">
        <v>316</v>
      </c>
      <c r="B10" s="15" t="s">
        <v>382</v>
      </c>
      <c r="C10" s="15" t="s">
        <v>383</v>
      </c>
      <c r="D10" s="15" t="s">
        <v>34</v>
      </c>
    </row>
    <row r="11" customFormat="false" ht="15" hidden="false" customHeight="false" outlineLevel="0" collapsed="false">
      <c r="A11" s="17" t="s">
        <v>112</v>
      </c>
      <c r="B11" s="17" t="s">
        <v>384</v>
      </c>
      <c r="C11" s="17" t="s">
        <v>385</v>
      </c>
      <c r="D11" s="17" t="s">
        <v>34</v>
      </c>
    </row>
    <row r="12" customFormat="false" ht="15" hidden="false" customHeight="false" outlineLevel="0" collapsed="false">
      <c r="A12" s="15" t="s">
        <v>92</v>
      </c>
      <c r="B12" s="15" t="s">
        <v>386</v>
      </c>
      <c r="C12" s="15" t="s">
        <v>387</v>
      </c>
      <c r="D12" s="15" t="s">
        <v>34</v>
      </c>
    </row>
    <row r="13" customFormat="false" ht="15" hidden="false" customHeight="false" outlineLevel="0" collapsed="false">
      <c r="A13" s="13" t="s">
        <v>216</v>
      </c>
      <c r="B13" s="13" t="s">
        <v>388</v>
      </c>
      <c r="C13" s="13" t="s">
        <v>389</v>
      </c>
      <c r="D13" s="13" t="s">
        <v>34</v>
      </c>
    </row>
    <row r="14" customFormat="false" ht="15" hidden="false" customHeight="false" outlineLevel="0" collapsed="false">
      <c r="A14" s="17" t="s">
        <v>96</v>
      </c>
      <c r="B14" s="17" t="s">
        <v>390</v>
      </c>
      <c r="C14" s="17" t="s">
        <v>391</v>
      </c>
      <c r="D14" s="17" t="s">
        <v>34</v>
      </c>
    </row>
    <row r="15" customFormat="false" ht="15" hidden="false" customHeight="false" outlineLevel="0" collapsed="false">
      <c r="A15" s="13" t="s">
        <v>231</v>
      </c>
      <c r="B15" s="13" t="s">
        <v>392</v>
      </c>
      <c r="C15" s="13" t="s">
        <v>393</v>
      </c>
      <c r="D15" s="13" t="s">
        <v>34</v>
      </c>
    </row>
    <row r="16" customFormat="false" ht="15" hidden="false" customHeight="false" outlineLevel="0" collapsed="false">
      <c r="A16" s="15" t="s">
        <v>238</v>
      </c>
      <c r="B16" s="15" t="s">
        <v>394</v>
      </c>
      <c r="C16" s="15" t="s">
        <v>395</v>
      </c>
      <c r="D16" s="15" t="s">
        <v>34</v>
      </c>
    </row>
    <row r="17" customFormat="false" ht="15" hidden="false" customHeight="false" outlineLevel="0" collapsed="false">
      <c r="A17" s="17" t="s">
        <v>104</v>
      </c>
      <c r="B17" s="17" t="s">
        <v>279</v>
      </c>
      <c r="C17" s="17" t="s">
        <v>396</v>
      </c>
      <c r="D17" s="17" t="s">
        <v>34</v>
      </c>
    </row>
  </sheetData>
  <mergeCells count="2">
    <mergeCell ref="A1:H1"/>
    <mergeCell ref="A2:H2"/>
  </mergeCells>
  <conditionalFormatting sqref="D5:D1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8"/>
  </cols>
  <sheetData>
    <row r="1" customFormat="false" ht="27.75" hidden="false" customHeight="true" outlineLevel="0" collapsed="false">
      <c r="A1" s="1" t="s">
        <v>397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398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399</v>
      </c>
    </row>
    <row r="5" customFormat="false" ht="31.5" hidden="false" customHeight="true" outlineLevel="0" collapsed="false">
      <c r="A5" s="12" t="s">
        <v>400</v>
      </c>
      <c r="B5" s="12" t="s">
        <v>401</v>
      </c>
      <c r="C5" s="12" t="s">
        <v>2</v>
      </c>
    </row>
    <row r="6" customFormat="false" ht="15" hidden="false" customHeight="false" outlineLevel="0" collapsed="false">
      <c r="A6" s="13" t="s">
        <v>402</v>
      </c>
      <c r="B6" s="13" t="s">
        <v>403</v>
      </c>
      <c r="C6" s="13" t="s">
        <v>69</v>
      </c>
    </row>
    <row r="7" customFormat="false" ht="15" hidden="false" customHeight="false" outlineLevel="0" collapsed="false">
      <c r="A7" s="15" t="s">
        <v>404</v>
      </c>
      <c r="B7" s="15" t="s">
        <v>405</v>
      </c>
      <c r="C7" s="15" t="s">
        <v>47</v>
      </c>
    </row>
    <row r="8" customFormat="false" ht="15" hidden="false" customHeight="false" outlineLevel="0" collapsed="false">
      <c r="A8" s="13" t="s">
        <v>406</v>
      </c>
      <c r="B8" s="13" t="s">
        <v>407</v>
      </c>
      <c r="C8" s="13" t="s">
        <v>47</v>
      </c>
    </row>
    <row r="9" customFormat="false" ht="15" hidden="false" customHeight="false" outlineLevel="0" collapsed="false">
      <c r="A9" s="15" t="s">
        <v>408</v>
      </c>
      <c r="B9" s="15" t="s">
        <v>409</v>
      </c>
      <c r="C9" s="15" t="s">
        <v>88</v>
      </c>
    </row>
    <row r="10" customFormat="false" ht="15" hidden="false" customHeight="false" outlineLevel="0" collapsed="false">
      <c r="A10" s="13" t="s">
        <v>410</v>
      </c>
      <c r="B10" s="13" t="s">
        <v>411</v>
      </c>
      <c r="C10" s="13" t="s">
        <v>88</v>
      </c>
    </row>
    <row r="11" customFormat="false" ht="15" hidden="false" customHeight="false" outlineLevel="0" collapsed="false">
      <c r="A11" s="15" t="s">
        <v>412</v>
      </c>
      <c r="B11" s="15" t="s">
        <v>413</v>
      </c>
      <c r="C11" s="15" t="s">
        <v>73</v>
      </c>
    </row>
    <row r="12" customFormat="false" ht="15" hidden="false" customHeight="false" outlineLevel="0" collapsed="false">
      <c r="A12" s="13" t="s">
        <v>414</v>
      </c>
      <c r="B12" s="13" t="s">
        <v>415</v>
      </c>
      <c r="C12" s="13" t="s">
        <v>88</v>
      </c>
    </row>
    <row r="13" customFormat="false" ht="15" hidden="false" customHeight="false" outlineLevel="0" collapsed="false">
      <c r="A13" s="15" t="s">
        <v>416</v>
      </c>
      <c r="B13" s="15" t="s">
        <v>417</v>
      </c>
      <c r="C13" s="15" t="s">
        <v>88</v>
      </c>
    </row>
    <row r="14" customFormat="false" ht="15" hidden="false" customHeight="false" outlineLevel="0" collapsed="false">
      <c r="A14" s="13" t="s">
        <v>418</v>
      </c>
      <c r="B14" s="13" t="s">
        <v>419</v>
      </c>
      <c r="C14" s="13" t="s">
        <v>73</v>
      </c>
    </row>
    <row r="15" customFormat="false" ht="15" hidden="false" customHeight="false" outlineLevel="0" collapsed="false">
      <c r="A15" s="15" t="s">
        <v>420</v>
      </c>
      <c r="B15" s="15" t="s">
        <v>421</v>
      </c>
      <c r="C15" s="15" t="s">
        <v>47</v>
      </c>
    </row>
    <row r="18" customFormat="false" ht="15" hidden="false" customHeight="false" outlineLevel="0" collapsed="false">
      <c r="A18" s="4" t="s">
        <v>422</v>
      </c>
    </row>
    <row r="19" customFormat="false" ht="31.5" hidden="false" customHeight="true" outlineLevel="0" collapsed="false">
      <c r="A19" s="12" t="s">
        <v>400</v>
      </c>
      <c r="B19" s="12" t="s">
        <v>401</v>
      </c>
      <c r="C19" s="12" t="s">
        <v>44</v>
      </c>
    </row>
    <row r="20" customFormat="false" ht="23.85" hidden="false" customHeight="false" outlineLevel="0" collapsed="false">
      <c r="A20" s="13" t="s">
        <v>423</v>
      </c>
      <c r="B20" s="13" t="s">
        <v>424</v>
      </c>
      <c r="C20" s="13" t="s">
        <v>425</v>
      </c>
    </row>
    <row r="21" customFormat="false" ht="15" hidden="false" customHeight="false" outlineLevel="0" collapsed="false">
      <c r="A21" s="15" t="s">
        <v>426</v>
      </c>
      <c r="B21" s="15" t="s">
        <v>427</v>
      </c>
      <c r="C21" s="15" t="s">
        <v>428</v>
      </c>
    </row>
    <row r="22" customFormat="false" ht="15" hidden="false" customHeight="false" outlineLevel="0" collapsed="false">
      <c r="A22" s="13" t="s">
        <v>429</v>
      </c>
      <c r="B22" s="13" t="s">
        <v>430</v>
      </c>
      <c r="C22" s="13" t="s">
        <v>431</v>
      </c>
    </row>
    <row r="23" customFormat="false" ht="15" hidden="false" customHeight="false" outlineLevel="0" collapsed="false">
      <c r="A23" s="15" t="s">
        <v>432</v>
      </c>
      <c r="B23" s="15" t="s">
        <v>433</v>
      </c>
      <c r="C23" s="15" t="s">
        <v>434</v>
      </c>
    </row>
    <row r="24" customFormat="false" ht="15" hidden="false" customHeight="false" outlineLevel="0" collapsed="false">
      <c r="A24" s="13" t="s">
        <v>435</v>
      </c>
      <c r="B24" s="13" t="s">
        <v>436</v>
      </c>
      <c r="C24" s="13" t="s">
        <v>434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2026-04-29T21:13:37Z</dcterms:created>
  <dc:creator>openpyxl</dc:creator>
  <dc:description/>
  <dc:language>en-US</dc:language>
  <cp:lastModifiedBy/>
  <dcterms:modified xsi:type="dcterms:W3CDTF">2026-04-29T21:13:37Z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